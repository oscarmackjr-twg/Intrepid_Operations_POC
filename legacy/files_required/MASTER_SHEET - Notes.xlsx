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gglobal-my.sharepoint.com/personal/jbalaji_twgglobal_com/Documents/Desktop/TWG/SFC_LMI/"/>
    </mc:Choice>
  </mc:AlternateContent>
  <xr:revisionPtr revIDLastSave="473" documentId="13_ncr:1_{FFE745AD-BEA3-4D7B-9E1C-CC13A8A5AF54}" xr6:coauthVersionLast="47" xr6:coauthVersionMax="47" xr10:uidLastSave="{880443AB-CE2D-4E32-8838-870E805CCD48}"/>
  <bookViews>
    <workbookView xWindow="-108" yWindow="-108" windowWidth="23256" windowHeight="13896" xr2:uid="{273D3980-F97A-4822-8659-AE944A752715}"/>
  </bookViews>
  <sheets>
    <sheet name="Sheet1" sheetId="1" r:id="rId1"/>
    <sheet name="SFY-CPR" sheetId="5" r:id="rId2"/>
    <sheet name="SFC-Models-SFY" sheetId="2" r:id="rId3"/>
    <sheet name="PRIME-CPR" sheetId="7" r:id="rId4"/>
    <sheet name="SFC-Models-PRIME" sheetId="6" r:id="rId5"/>
  </sheets>
  <definedNames>
    <definedName name="_xlnm._FilterDatabase" localSheetId="0" hidden="1">Sheet1!$A$1:$AB$130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7" l="1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S2" i="6" s="1"/>
  <c r="X26" i="7"/>
  <c r="S3" i="6" s="1"/>
  <c r="Y26" i="7"/>
  <c r="S4" i="6" s="1"/>
  <c r="Z26" i="7"/>
  <c r="S5" i="6" s="1"/>
  <c r="AA26" i="7"/>
  <c r="S6" i="6" s="1"/>
  <c r="AB26" i="7"/>
  <c r="S7" i="6" s="1"/>
  <c r="AC26" i="7"/>
  <c r="S8" i="6" s="1"/>
  <c r="AD26" i="7"/>
  <c r="S9" i="6" s="1"/>
  <c r="AE26" i="7"/>
  <c r="S10" i="6" s="1"/>
  <c r="AF26" i="7"/>
  <c r="S11" i="6" s="1"/>
  <c r="AG26" i="7"/>
  <c r="S12" i="6" s="1"/>
  <c r="AH26" i="7"/>
  <c r="S13" i="6" s="1"/>
  <c r="AI26" i="7"/>
  <c r="AJ26" i="7"/>
  <c r="AK26" i="7"/>
  <c r="AL26" i="7"/>
  <c r="S26" i="6" s="1"/>
  <c r="AM26" i="7"/>
  <c r="S27" i="6" s="1"/>
  <c r="AN26" i="7"/>
  <c r="S28" i="6" s="1"/>
  <c r="AO26" i="7"/>
  <c r="S29" i="6" s="1"/>
  <c r="AP26" i="7"/>
  <c r="S30" i="6" s="1"/>
  <c r="AQ26" i="7"/>
  <c r="S31" i="6" s="1"/>
  <c r="AR26" i="7"/>
  <c r="S32" i="6" s="1"/>
  <c r="AS26" i="7"/>
  <c r="AT26" i="7"/>
  <c r="S33" i="6" s="1"/>
  <c r="AU26" i="7"/>
  <c r="S34" i="6" s="1"/>
  <c r="AV26" i="7"/>
  <c r="S35" i="6" s="1"/>
  <c r="AW26" i="7"/>
  <c r="S36" i="6" s="1"/>
  <c r="AX26" i="7"/>
  <c r="S37" i="6" s="1"/>
  <c r="AY26" i="7"/>
  <c r="S38" i="6" s="1"/>
  <c r="AZ26" i="7"/>
  <c r="BA26" i="7"/>
  <c r="BB26" i="7"/>
  <c r="BC26" i="7"/>
  <c r="S42" i="6" s="1"/>
  <c r="BD26" i="7"/>
  <c r="S43" i="6" s="1"/>
  <c r="BE26" i="7"/>
  <c r="S44" i="6" s="1"/>
  <c r="BF26" i="7"/>
  <c r="S45" i="6" s="1"/>
  <c r="BG26" i="7"/>
  <c r="S48" i="6" s="1"/>
  <c r="BH26" i="7"/>
  <c r="S49" i="6" s="1"/>
  <c r="BI26" i="7"/>
  <c r="S50" i="6" s="1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B26" i="7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B26" i="5"/>
  <c r="L49" i="1"/>
  <c r="N49" i="1"/>
  <c r="P49" i="1"/>
  <c r="L50" i="1"/>
  <c r="N50" i="1"/>
  <c r="P50" i="1"/>
  <c r="L51" i="1"/>
  <c r="N51" i="1"/>
  <c r="P51" i="1"/>
  <c r="L52" i="1"/>
  <c r="N52" i="1"/>
  <c r="P52" i="1"/>
  <c r="L53" i="1"/>
  <c r="N53" i="1"/>
  <c r="P53" i="1"/>
  <c r="L54" i="1"/>
  <c r="N54" i="1"/>
  <c r="P54" i="1"/>
  <c r="L55" i="1"/>
  <c r="N55" i="1"/>
  <c r="P55" i="1"/>
  <c r="L56" i="1"/>
  <c r="N56" i="1"/>
  <c r="P56" i="1"/>
  <c r="L57" i="1"/>
  <c r="N57" i="1"/>
  <c r="P57" i="1"/>
  <c r="L58" i="1"/>
  <c r="N58" i="1"/>
  <c r="P58" i="1"/>
  <c r="L59" i="1"/>
  <c r="N59" i="1"/>
  <c r="P59" i="1"/>
  <c r="L60" i="1"/>
  <c r="N60" i="1"/>
  <c r="P60" i="1"/>
  <c r="L64" i="1"/>
  <c r="N64" i="1"/>
  <c r="P64" i="1"/>
  <c r="L65" i="1"/>
  <c r="N65" i="1"/>
  <c r="P65" i="1"/>
  <c r="L66" i="1"/>
  <c r="N66" i="1"/>
  <c r="P66" i="1"/>
  <c r="L67" i="1"/>
  <c r="N67" i="1"/>
  <c r="P67" i="1"/>
  <c r="L68" i="1"/>
  <c r="N68" i="1"/>
  <c r="P68" i="1"/>
  <c r="L69" i="1"/>
  <c r="N69" i="1"/>
  <c r="P69" i="1"/>
  <c r="L70" i="1"/>
  <c r="N70" i="1"/>
  <c r="P70" i="1"/>
  <c r="L71" i="1"/>
  <c r="N71" i="1"/>
  <c r="P71" i="1"/>
  <c r="L73" i="1"/>
  <c r="N73" i="1"/>
  <c r="P73" i="1"/>
  <c r="L77" i="1"/>
  <c r="N77" i="1"/>
  <c r="P77" i="1"/>
  <c r="L78" i="1"/>
  <c r="N78" i="1"/>
  <c r="P78" i="1"/>
  <c r="L79" i="1"/>
  <c r="N79" i="1"/>
  <c r="P79" i="1"/>
  <c r="L80" i="1"/>
  <c r="N80" i="1"/>
  <c r="P80" i="1"/>
  <c r="L81" i="1"/>
  <c r="N81" i="1"/>
  <c r="P81" i="1"/>
  <c r="L83" i="1"/>
  <c r="N83" i="1"/>
  <c r="P83" i="1"/>
  <c r="L84" i="1"/>
  <c r="N84" i="1"/>
  <c r="P84" i="1"/>
  <c r="L85" i="1"/>
  <c r="N85" i="1"/>
  <c r="P85" i="1"/>
  <c r="L86" i="1"/>
  <c r="N86" i="1"/>
  <c r="P86" i="1"/>
  <c r="L87" i="1"/>
  <c r="N87" i="1"/>
  <c r="P87" i="1"/>
  <c r="L88" i="1"/>
  <c r="N88" i="1"/>
  <c r="P88" i="1"/>
  <c r="L89" i="1"/>
  <c r="N89" i="1"/>
  <c r="P89" i="1"/>
  <c r="L90" i="1"/>
  <c r="N90" i="1"/>
  <c r="P90" i="1"/>
  <c r="L91" i="1"/>
  <c r="N91" i="1"/>
  <c r="P91" i="1"/>
  <c r="L92" i="1"/>
  <c r="N92" i="1"/>
  <c r="P92" i="1"/>
  <c r="L94" i="1"/>
  <c r="N94" i="1"/>
  <c r="P94" i="1"/>
  <c r="L95" i="1"/>
  <c r="N95" i="1"/>
  <c r="P95" i="1"/>
  <c r="L46" i="1"/>
  <c r="N46" i="1"/>
  <c r="P46" i="1"/>
  <c r="L47" i="1"/>
  <c r="N47" i="1"/>
  <c r="P47" i="1"/>
  <c r="L72" i="1"/>
  <c r="N72" i="1"/>
  <c r="P72" i="1"/>
  <c r="L76" i="1"/>
  <c r="N76" i="1"/>
  <c r="P76" i="1"/>
  <c r="L93" i="1"/>
  <c r="N93" i="1"/>
  <c r="P93" i="1"/>
  <c r="L75" i="1"/>
  <c r="N75" i="1"/>
  <c r="P75" i="1"/>
  <c r="L63" i="1"/>
  <c r="N63" i="1"/>
  <c r="P63" i="1"/>
  <c r="L82" i="1"/>
  <c r="N82" i="1"/>
  <c r="P82" i="1"/>
  <c r="L62" i="1"/>
  <c r="N62" i="1"/>
  <c r="P62" i="1"/>
  <c r="L74" i="1"/>
  <c r="N74" i="1"/>
  <c r="P74" i="1"/>
  <c r="L61" i="1"/>
  <c r="N61" i="1"/>
  <c r="P61" i="1"/>
  <c r="L2" i="1"/>
  <c r="N2" i="1"/>
  <c r="P2" i="1"/>
  <c r="L3" i="1"/>
  <c r="N3" i="1"/>
  <c r="P3" i="1"/>
  <c r="L4" i="1"/>
  <c r="N4" i="1"/>
  <c r="P4" i="1"/>
  <c r="L5" i="1"/>
  <c r="N5" i="1"/>
  <c r="P5" i="1"/>
  <c r="L6" i="1"/>
  <c r="N6" i="1"/>
  <c r="P6" i="1"/>
  <c r="L7" i="1"/>
  <c r="N7" i="1"/>
  <c r="P7" i="1"/>
  <c r="L8" i="1"/>
  <c r="N8" i="1"/>
  <c r="P8" i="1"/>
  <c r="L9" i="1"/>
  <c r="N9" i="1"/>
  <c r="P9" i="1"/>
  <c r="L10" i="1"/>
  <c r="N10" i="1"/>
  <c r="P10" i="1"/>
  <c r="L11" i="1"/>
  <c r="N11" i="1"/>
  <c r="P11" i="1"/>
  <c r="L12" i="1"/>
  <c r="N12" i="1"/>
  <c r="P12" i="1"/>
  <c r="L13" i="1"/>
  <c r="N13" i="1"/>
  <c r="P13" i="1"/>
  <c r="L17" i="1"/>
  <c r="N17" i="1"/>
  <c r="P17" i="1"/>
  <c r="L18" i="1"/>
  <c r="N18" i="1"/>
  <c r="P18" i="1"/>
  <c r="L19" i="1"/>
  <c r="N19" i="1"/>
  <c r="P19" i="1"/>
  <c r="L20" i="1"/>
  <c r="N20" i="1"/>
  <c r="P20" i="1"/>
  <c r="L21" i="1"/>
  <c r="N21" i="1"/>
  <c r="P21" i="1"/>
  <c r="L22" i="1"/>
  <c r="N22" i="1"/>
  <c r="P22" i="1"/>
  <c r="L23" i="1"/>
  <c r="N23" i="1"/>
  <c r="P23" i="1"/>
  <c r="L24" i="1"/>
  <c r="N24" i="1"/>
  <c r="P24" i="1"/>
  <c r="L27" i="1"/>
  <c r="N27" i="1"/>
  <c r="P27" i="1"/>
  <c r="L28" i="1"/>
  <c r="N28" i="1"/>
  <c r="P28" i="1"/>
  <c r="L29" i="1"/>
  <c r="N29" i="1"/>
  <c r="P29" i="1"/>
  <c r="L30" i="1"/>
  <c r="N30" i="1"/>
  <c r="P30" i="1"/>
  <c r="L31" i="1"/>
  <c r="N31" i="1"/>
  <c r="P31" i="1"/>
  <c r="L33" i="1"/>
  <c r="N33" i="1"/>
  <c r="P33" i="1"/>
  <c r="L34" i="1"/>
  <c r="N34" i="1"/>
  <c r="P34" i="1"/>
  <c r="L35" i="1"/>
  <c r="N35" i="1"/>
  <c r="P35" i="1"/>
  <c r="L36" i="1"/>
  <c r="N36" i="1"/>
  <c r="P36" i="1"/>
  <c r="L37" i="1"/>
  <c r="N37" i="1"/>
  <c r="P37" i="1"/>
  <c r="L38" i="1"/>
  <c r="N38" i="1"/>
  <c r="P38" i="1"/>
  <c r="L39" i="1"/>
  <c r="N39" i="1"/>
  <c r="P39" i="1"/>
  <c r="L40" i="1"/>
  <c r="N40" i="1"/>
  <c r="P40" i="1"/>
  <c r="L41" i="1"/>
  <c r="N41" i="1"/>
  <c r="P41" i="1"/>
  <c r="L42" i="1"/>
  <c r="N42" i="1"/>
  <c r="P42" i="1"/>
  <c r="L44" i="1"/>
  <c r="N44" i="1"/>
  <c r="P44" i="1"/>
  <c r="L45" i="1"/>
  <c r="N45" i="1"/>
  <c r="P45" i="1"/>
  <c r="L43" i="1"/>
  <c r="N43" i="1"/>
  <c r="P43" i="1"/>
  <c r="L26" i="1"/>
  <c r="N26" i="1"/>
  <c r="P26" i="1"/>
  <c r="L16" i="1"/>
  <c r="N16" i="1"/>
  <c r="P16" i="1"/>
  <c r="L32" i="1"/>
  <c r="N32" i="1"/>
  <c r="P32" i="1"/>
  <c r="L15" i="1"/>
  <c r="N15" i="1"/>
  <c r="P15" i="1"/>
  <c r="L25" i="1"/>
  <c r="N25" i="1"/>
  <c r="P25" i="1"/>
  <c r="L14" i="1"/>
  <c r="N14" i="1"/>
  <c r="P14" i="1"/>
  <c r="P48" i="1"/>
  <c r="L48" i="1"/>
  <c r="N48" i="1"/>
  <c r="S14" i="6"/>
  <c r="S15" i="6"/>
  <c r="S16" i="6"/>
  <c r="S17" i="6"/>
  <c r="S18" i="6"/>
  <c r="S19" i="6"/>
  <c r="S20" i="6"/>
  <c r="S21" i="6"/>
  <c r="S22" i="6"/>
  <c r="S23" i="6"/>
  <c r="S24" i="6"/>
  <c r="S25" i="6"/>
  <c r="S39" i="6"/>
  <c r="S40" i="6"/>
  <c r="S41" i="6"/>
  <c r="S46" i="6"/>
  <c r="S47" i="6"/>
  <c r="S51" i="6"/>
  <c r="S52" i="6"/>
  <c r="S53" i="6"/>
  <c r="S54" i="6"/>
  <c r="S55" i="6"/>
  <c r="S56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2" i="6"/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2" i="2"/>
</calcChain>
</file>

<file path=xl/sharedStrings.xml><?xml version="1.0" encoding="utf-8"?>
<sst xmlns="http://schemas.openxmlformats.org/spreadsheetml/2006/main" count="932" uniqueCount="220">
  <si>
    <t>loan program</t>
  </si>
  <si>
    <t>promo_term</t>
  </si>
  <si>
    <t>type</t>
  </si>
  <si>
    <t>late_percent</t>
  </si>
  <si>
    <t>recovery_percent</t>
  </si>
  <si>
    <t>cdr</t>
  </si>
  <si>
    <t>constant_cpr</t>
  </si>
  <si>
    <t>cpr</t>
  </si>
  <si>
    <t>loan_term</t>
  </si>
  <si>
    <t>coupon</t>
  </si>
  <si>
    <t>modeled_purchase_price</t>
  </si>
  <si>
    <t>Unsec Std - EPNI 36 Mo</t>
  </si>
  <si>
    <t>Unsec Std - EPNI 60 Mo</t>
  </si>
  <si>
    <t>6 Mth BD WPDI</t>
  </si>
  <si>
    <t>6 Mth BD WPDI 12S</t>
  </si>
  <si>
    <t>platform</t>
  </si>
  <si>
    <t>prime</t>
  </si>
  <si>
    <t>sfy</t>
  </si>
  <si>
    <t>Unsec Std - 1390 - 120</t>
  </si>
  <si>
    <t>Unsec Std - 1490 - 120</t>
  </si>
  <si>
    <t>servicing_cost</t>
  </si>
  <si>
    <t>tagging</t>
  </si>
  <si>
    <t>PRIME</t>
  </si>
  <si>
    <t>SFY</t>
  </si>
  <si>
    <t>irr_support</t>
  </si>
  <si>
    <t>yield</t>
  </si>
  <si>
    <t>new_programs</t>
  </si>
  <si>
    <t>Unsec Std - 1099 - 120</t>
  </si>
  <si>
    <t>Unsec Std - 1049 - 132</t>
  </si>
  <si>
    <t>Unsec Std - 1049 - 186</t>
  </si>
  <si>
    <t>Unsec Std - 1049 - 63</t>
  </si>
  <si>
    <t>Unsec Std - 1099 / 132</t>
  </si>
  <si>
    <t>Unsec Std - 1099 / 186</t>
  </si>
  <si>
    <t>Unsec Std - 1099 / 63</t>
  </si>
  <si>
    <t>Unsec Std - 1149 - 132</t>
  </si>
  <si>
    <t>Unsec Std - 1149 - 186</t>
  </si>
  <si>
    <t>Unsec Std - 1149 - 63</t>
  </si>
  <si>
    <t>Unsec Std - 1199 / 132</t>
  </si>
  <si>
    <t>Unsec Std - 1199 / 186</t>
  </si>
  <si>
    <t>Unsec Std - 1199 / 63</t>
  </si>
  <si>
    <t>Unsec Std - 1349 - 128</t>
  </si>
  <si>
    <t>Unsec Std - 1349 - 132</t>
  </si>
  <si>
    <t>Unsec Std - 1349 - 186</t>
  </si>
  <si>
    <t>Unsec Std - 1349 - 63</t>
  </si>
  <si>
    <t>Unsec Std - 1399 / 132</t>
  </si>
  <si>
    <t>Unsec Std - 1399 / 186</t>
  </si>
  <si>
    <t>Unsec Std - 1399 / 63</t>
  </si>
  <si>
    <t>Unsec Std - 1449 - 132</t>
  </si>
  <si>
    <t>Unsec Std - 399 - 60</t>
  </si>
  <si>
    <t>Unsec Std - 399 - 84</t>
  </si>
  <si>
    <t>Unsec Std - 649 - 132</t>
  </si>
  <si>
    <t>Unsec Std - 649 - 186</t>
  </si>
  <si>
    <t>Unsec Std - 699 / 186</t>
  </si>
  <si>
    <t>Unsec Std - 849 - 120</t>
  </si>
  <si>
    <t>Unsec Std - 849 - 132</t>
  </si>
  <si>
    <t>Unsec Std - 849 - 180</t>
  </si>
  <si>
    <t>Unsec Std - 849 - 63</t>
  </si>
  <si>
    <t>Unsec Std - 899 / 120</t>
  </si>
  <si>
    <t>Unsec Std - 899 / 132</t>
  </si>
  <si>
    <t>Unsec Std - 899 / 180</t>
  </si>
  <si>
    <t>Unsec Std - 899 / 63</t>
  </si>
  <si>
    <t>Unsec Std - 949 - 120</t>
  </si>
  <si>
    <t>Unsec Std - 949 - 132</t>
  </si>
  <si>
    <t>Unsec Std - 1440 - 120</t>
  </si>
  <si>
    <t>Unsec Std - 949 - 63</t>
  </si>
  <si>
    <t>Unsec Std - 1449 - 63</t>
  </si>
  <si>
    <t>Unsec Std - 1249 - 63</t>
  </si>
  <si>
    <t>Unsec Std - 749 - 186</t>
  </si>
  <si>
    <t>Unsec Std - 1249 - 186</t>
  </si>
  <si>
    <t>Unsec Std - 1449 - 186</t>
  </si>
  <si>
    <t>Unsec Std - 1249 - 132</t>
  </si>
  <si>
    <t>Loan Product Variables</t>
  </si>
  <si>
    <t>Term of Loan in Mths (total)</t>
  </si>
  <si>
    <t>Avg Loan Size $'s</t>
  </si>
  <si>
    <t>Loan Interest Rate</t>
  </si>
  <si>
    <t>CDR - Promotion Period Only</t>
  </si>
  <si>
    <t>Constant Prepay Rate</t>
  </si>
  <si>
    <t>Servicing Fees</t>
  </si>
  <si>
    <t>Late Fees% UPB/Mth</t>
  </si>
  <si>
    <t>Default Recovery %</t>
  </si>
  <si>
    <t>Promotional Period Term</t>
  </si>
  <si>
    <t>Promo Period Prepayment</t>
  </si>
  <si>
    <t>SFC Selling Price</t>
  </si>
  <si>
    <t>SFC Loan Margin</t>
  </si>
  <si>
    <t>SFC Purchase Price</t>
  </si>
  <si>
    <t>Merchant Discount</t>
  </si>
  <si>
    <t>CDR No Promo or Post Promo</t>
  </si>
  <si>
    <t>Single Pool Net Loan Yield</t>
  </si>
  <si>
    <t>NINP899/63</t>
  </si>
  <si>
    <t>NINP1099/63</t>
  </si>
  <si>
    <t>NINP1199/63</t>
  </si>
  <si>
    <t>NINP1399/63</t>
  </si>
  <si>
    <t>NINP699/186</t>
  </si>
  <si>
    <t>NINP1099/186</t>
  </si>
  <si>
    <t>NINP1199/186</t>
  </si>
  <si>
    <t>NINP1399/186</t>
  </si>
  <si>
    <t>NINP899/132</t>
  </si>
  <si>
    <t>NINP1099/132</t>
  </si>
  <si>
    <t>NINP1199/132</t>
  </si>
  <si>
    <t>NINP1399/132</t>
  </si>
  <si>
    <t>899/120</t>
  </si>
  <si>
    <t>899/180</t>
  </si>
  <si>
    <t>399-60</t>
  </si>
  <si>
    <t>399-84</t>
  </si>
  <si>
    <t>1440-120</t>
  </si>
  <si>
    <t>6MBD</t>
  </si>
  <si>
    <t>12MBD</t>
  </si>
  <si>
    <t>849-120</t>
  </si>
  <si>
    <t>849-180</t>
  </si>
  <si>
    <t>155PF</t>
  </si>
  <si>
    <t>NINP849-63</t>
  </si>
  <si>
    <t>NINP1049-63</t>
  </si>
  <si>
    <t>NINP1349-63</t>
  </si>
  <si>
    <t>NINP649-186</t>
  </si>
  <si>
    <t>NINP1049-186</t>
  </si>
  <si>
    <t>NINP1149-186a</t>
  </si>
  <si>
    <t>NINP1349-186</t>
  </si>
  <si>
    <t>NINP849-132</t>
  </si>
  <si>
    <t>NINP1049-132</t>
  </si>
  <si>
    <t>NINP1349-132</t>
  </si>
  <si>
    <t>NINP949-63</t>
  </si>
  <si>
    <t>NINP1149-63</t>
  </si>
  <si>
    <t>NINP1249-63</t>
  </si>
  <si>
    <t>NINP1449-63</t>
  </si>
  <si>
    <t>NINP749-186</t>
  </si>
  <si>
    <t>NINP1149-186</t>
  </si>
  <si>
    <t>NINP1249-186</t>
  </si>
  <si>
    <t>NINP1449-186</t>
  </si>
  <si>
    <t>NINP949-132</t>
  </si>
  <si>
    <t>NINP1149-132</t>
  </si>
  <si>
    <t>NINP1249-132</t>
  </si>
  <si>
    <t>NINP1449-132</t>
  </si>
  <si>
    <t>949-120</t>
  </si>
  <si>
    <t>1490-120</t>
  </si>
  <si>
    <t>NINP649-132</t>
  </si>
  <si>
    <t>NINP1149-128</t>
  </si>
  <si>
    <t>NINP1349-128</t>
  </si>
  <si>
    <t>36EPNI</t>
  </si>
  <si>
    <t>60EPNI</t>
  </si>
  <si>
    <t>NINP4331</t>
  </si>
  <si>
    <t>NINP4306</t>
  </si>
  <si>
    <t>NINP849-183</t>
  </si>
  <si>
    <t>1099-120</t>
  </si>
  <si>
    <t>cdr_promo</t>
  </si>
  <si>
    <t>Mth</t>
  </si>
  <si>
    <t>NINP3</t>
  </si>
  <si>
    <t>NINP6</t>
  </si>
  <si>
    <t>NINP12</t>
  </si>
  <si>
    <t>NINP18</t>
  </si>
  <si>
    <t>NINP24</t>
  </si>
  <si>
    <t>NINP10</t>
  </si>
  <si>
    <t>NINP14</t>
  </si>
  <si>
    <t>NINP20</t>
  </si>
  <si>
    <t>NINP4316</t>
  </si>
  <si>
    <t>NINP4398</t>
  </si>
  <si>
    <t>NINP4302</t>
  </si>
  <si>
    <t>NINP4602</t>
  </si>
  <si>
    <t>NINP4321</t>
  </si>
  <si>
    <t>NINP4301</t>
  </si>
  <si>
    <t>NINP4626</t>
  </si>
  <si>
    <t>NINP4332</t>
  </si>
  <si>
    <t>NINP4312</t>
  </si>
  <si>
    <t>NINP4632</t>
  </si>
  <si>
    <t>NINP4612</t>
  </si>
  <si>
    <t>NINP41232</t>
  </si>
  <si>
    <t>NINP41207</t>
  </si>
  <si>
    <t>NINP1149-63a</t>
  </si>
  <si>
    <t>NINP1149-132a</t>
  </si>
  <si>
    <t>NINP4396</t>
  </si>
  <si>
    <t>NINP4687</t>
  </si>
  <si>
    <t>NINP4213</t>
  </si>
  <si>
    <t>NINP4813</t>
  </si>
  <si>
    <t>NINP4013</t>
  </si>
  <si>
    <t>NINP4337</t>
  </si>
  <si>
    <t>NINP4342</t>
  </si>
  <si>
    <t>NINP4348</t>
  </si>
  <si>
    <t>NINP4355</t>
  </si>
  <si>
    <t>NINP4313</t>
  </si>
  <si>
    <t>NINP4319</t>
  </si>
  <si>
    <t>NINP4325</t>
  </si>
  <si>
    <t>NINP4333</t>
  </si>
  <si>
    <t>NINP12n</t>
  </si>
  <si>
    <t>NINP18n</t>
  </si>
  <si>
    <t>WP18n</t>
  </si>
  <si>
    <t>WP24n</t>
  </si>
  <si>
    <t>NINP1195-132</t>
  </si>
  <si>
    <t>WP6</t>
  </si>
  <si>
    <t>WP12</t>
  </si>
  <si>
    <t>WP18</t>
  </si>
  <si>
    <t>WP24</t>
  </si>
  <si>
    <t>WP10</t>
  </si>
  <si>
    <t>WP14</t>
  </si>
  <si>
    <t>WP20</t>
  </si>
  <si>
    <t>0.034087798153406;0.029131872311023;0.029131872311023;0.025455429050157;0.025455429050157;0.024935476432192;0.024935476432192;0.0330338174243784;0.0330338174243784;0.052503321664899;0.0723270250344311;0.115968664711763</t>
  </si>
  <si>
    <t>0.0489849142849816;0.0428030164624041;0.0419287220074737;0.0555459909257746;0.0882837424238861;0.116654180496246</t>
  </si>
  <si>
    <t>0.0436711592742046;0.051181123470062;0.0613711445667025</t>
  </si>
  <si>
    <t>0.051131697230109;0.0436978084665345;0.0436978084665345;0.0381831435752355;0.0381831435752355;0.037403214648288;0.037403214648288;0.115968664711763</t>
  </si>
  <si>
    <t>hybrid</t>
  </si>
  <si>
    <t>standard</t>
  </si>
  <si>
    <t>epni</t>
  </si>
  <si>
    <t>standard_bd</t>
  </si>
  <si>
    <t>proposed_cdr</t>
  </si>
  <si>
    <t>proposed_cpr</t>
  </si>
  <si>
    <t>proposed_promo_cpr_percent</t>
  </si>
  <si>
    <t>proposed_cdr_promo</t>
  </si>
  <si>
    <t>0.014038095;0.02807619;0.042114286;0.056152381;0.070190476;0.084228571</t>
  </si>
  <si>
    <t>0.006064103;0.012128205;0.018192308;0.02425641;0.030320513;0.036384615;0.042448718;0.048512821;0.054576923;0.060641026;0.066705128;0.072769231</t>
  </si>
  <si>
    <t>wpdi_bd</t>
  </si>
  <si>
    <t>BD</t>
  </si>
  <si>
    <t>NINP - 24 Mo - 1795</t>
  </si>
  <si>
    <t>ninp</t>
  </si>
  <si>
    <t>0.03026823033909381;0.035600135982233924;0.026489949813011334;0.027871365927849452;0.023758661217038617;0.02579220684816405;0.02122293126725122;0.02963254821613322;0.02956574553420408;0.030828750865728068;0.03816737063940657;0.03083240379326952;0.030895518718847242;0.028723292961372972;0.03267629733463203;0.021093038244786633;0.02773711623100624;0.03709754739997532;0.035807390962314;0.03580337130789098;0.036391389180009115;0.06385361902820341;0.08651239257215569;0.09697872561542253</t>
  </si>
  <si>
    <t>constant_cpr_old</t>
  </si>
  <si>
    <t>cdr_promo_old</t>
  </si>
  <si>
    <t>cdr_old</t>
  </si>
  <si>
    <t>cpr_old</t>
  </si>
  <si>
    <t>proposed_cdr_old</t>
  </si>
  <si>
    <t>proposed_cdr_promo_old</t>
  </si>
  <si>
    <t>0.039703346185265796;0.03635715882991378;0.03470970928411711;0.03548269171460937;0.037439795816501246;0.03973788749506501;0.034907694810767734;0.03588535592699753;0.040163946994567414;0.03618278424779669;0.04106291086725734;0.04379840670389578;0.0442750123745728;0.043314271123342955;0.048749252320648015;0.06360233170335709;0.11510571512637802;0.1943217284749463</t>
  </si>
  <si>
    <t>NINP - 18 Mo - 1599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</si>
</sst>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0" fontId="0" fillId="2" borderId="0" xfId="0" applyFill="1"/>
    <xf numFmtId="164" fontId="1" fillId="0" borderId="0" xfId="0" applyNumberFormat="1" applyFont="1"/>
    <xf numFmtId="165" fontId="1" fillId="0" borderId="0" xfId="1" applyNumberFormat="1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E921-3C0F-4576-AB69-4555387B9FB9}">
  <dimension ref="A1:AB97"/>
  <sheetViews>
    <sheetView tabSelected="1" zoomScale="145" zoomScaleNormal="145" workbookViewId="0">
      <pane ySplit="1" topLeftCell="A2" activePane="bottomLeft" state="frozen"/>
      <selection activeCell="A39" sqref="A39"/>
      <selection pane="bottomLeft" activeCell="O90" sqref="O90"/>
    </sheetView>
  </sheetViews>
  <sheetFormatPr defaultColWidth="9.33203125" defaultRowHeight="10.8" x14ac:dyDescent="0.25"/>
  <cols>
    <col min="1" max="1" width="15" style="1" bestFit="1" customWidth="1"/>
    <col min="2" max="9" width="9.33203125" style="1" customWidth="1"/>
    <col min="10" max="10" width="9.33203125" style="5" customWidth="1"/>
    <col min="11" max="11" width="9.33203125" style="1" customWidth="1"/>
    <col min="12" max="12" width="17.33203125" style="1" bestFit="1" customWidth="1"/>
    <col min="13" max="13" width="17.33203125" style="1" customWidth="1"/>
    <col min="14" max="14" width="12.109375" style="1" bestFit="1" customWidth="1"/>
    <col min="15" max="15" width="12.109375" style="1" customWidth="1"/>
    <col min="16" max="16" width="12.109375" style="1" bestFit="1" customWidth="1"/>
    <col min="17" max="23" width="9.33203125" style="1" customWidth="1"/>
    <col min="24" max="24" width="9.33203125" style="6" customWidth="1"/>
    <col min="25" max="26" width="9.33203125" style="1"/>
    <col min="27" max="27" width="9.33203125" style="2"/>
    <col min="28" max="28" width="9.33203125" style="3"/>
    <col min="29" max="16384" width="9.33203125" style="1"/>
  </cols>
  <sheetData>
    <row r="1" spans="1:28" x14ac:dyDescent="0.25">
      <c r="A1" s="1" t="s">
        <v>0</v>
      </c>
      <c r="B1" s="1" t="s">
        <v>1</v>
      </c>
      <c r="C1" s="1" t="s">
        <v>15</v>
      </c>
      <c r="D1" s="1" t="s">
        <v>21</v>
      </c>
      <c r="E1" s="1" t="s">
        <v>20</v>
      </c>
      <c r="F1" s="1" t="s">
        <v>24</v>
      </c>
      <c r="G1" s="1" t="s">
        <v>2</v>
      </c>
      <c r="H1" s="1" t="s">
        <v>3</v>
      </c>
      <c r="I1" s="1" t="s">
        <v>4</v>
      </c>
      <c r="J1" s="5" t="s">
        <v>10</v>
      </c>
      <c r="K1" s="1" t="s">
        <v>26</v>
      </c>
      <c r="L1" s="1" t="s">
        <v>204</v>
      </c>
      <c r="M1" s="1" t="s">
        <v>217</v>
      </c>
      <c r="N1" s="1" t="s">
        <v>201</v>
      </c>
      <c r="O1" s="1" t="s">
        <v>216</v>
      </c>
      <c r="P1" s="1" t="s">
        <v>202</v>
      </c>
      <c r="Q1" s="1" t="s">
        <v>203</v>
      </c>
      <c r="R1" s="1" t="s">
        <v>6</v>
      </c>
      <c r="S1" s="1" t="s">
        <v>212</v>
      </c>
      <c r="T1" s="1" t="s">
        <v>143</v>
      </c>
      <c r="U1" s="1" t="s">
        <v>213</v>
      </c>
      <c r="V1" s="1" t="s">
        <v>5</v>
      </c>
      <c r="W1" s="1" t="s">
        <v>214</v>
      </c>
      <c r="X1" s="6" t="s">
        <v>25</v>
      </c>
      <c r="Y1" s="1" t="s">
        <v>7</v>
      </c>
      <c r="Z1" s="1" t="s">
        <v>215</v>
      </c>
      <c r="AA1" s="2" t="s">
        <v>8</v>
      </c>
      <c r="AB1" s="3" t="s">
        <v>9</v>
      </c>
    </row>
    <row r="2" spans="1:28" x14ac:dyDescent="0.25">
      <c r="A2" s="1" t="s">
        <v>28</v>
      </c>
      <c r="B2" s="1">
        <v>12</v>
      </c>
      <c r="C2" s="1" t="s">
        <v>16</v>
      </c>
      <c r="D2" s="1" t="s">
        <v>22</v>
      </c>
      <c r="E2" s="1">
        <v>1.6500000000000001E-2</v>
      </c>
      <c r="F2" s="1">
        <v>1.15E-2</v>
      </c>
      <c r="G2" s="1" t="s">
        <v>197</v>
      </c>
      <c r="H2" s="1">
        <v>2.0000000000000002E-5</v>
      </c>
      <c r="I2" s="1">
        <v>0.15</v>
      </c>
      <c r="J2" s="5">
        <v>0.98250000000000004</v>
      </c>
      <c r="K2" s="1" t="b">
        <v>1</v>
      </c>
      <c r="L2" s="1">
        <f t="shared" ref="L2:L33" si="0">T2*1.3</f>
        <v>1.3044096E-2</v>
      </c>
      <c r="M2" s="1">
        <v>1.3044096E-2</v>
      </c>
      <c r="N2" s="1">
        <f t="shared" ref="N2:N33" si="1">V2*1.3</f>
        <v>1.3044096E-2</v>
      </c>
      <c r="O2" s="1">
        <v>1.3044096E-2</v>
      </c>
      <c r="P2" s="1">
        <f t="shared" ref="P2:P33" si="2">R2*1.15</f>
        <v>0.26450000000000001</v>
      </c>
      <c r="Q2" s="1">
        <v>1</v>
      </c>
      <c r="R2" s="1">
        <v>0.23</v>
      </c>
      <c r="S2" s="1">
        <v>0.23</v>
      </c>
      <c r="T2" s="1">
        <v>1.003392E-2</v>
      </c>
      <c r="U2" s="1">
        <v>1.003392E-2</v>
      </c>
      <c r="V2" s="1">
        <v>1.003392E-2</v>
      </c>
      <c r="W2" s="1">
        <v>1.003392E-2</v>
      </c>
      <c r="X2" s="6">
        <v>6.0852269463462783E-2</v>
      </c>
      <c r="Y2" s="1" t="s">
        <v>193</v>
      </c>
      <c r="Z2" s="1" t="s">
        <v>193</v>
      </c>
      <c r="AA2" s="2">
        <v>132</v>
      </c>
      <c r="AB2" s="3">
        <v>1049</v>
      </c>
    </row>
    <row r="3" spans="1:28" x14ac:dyDescent="0.25">
      <c r="A3" s="1" t="s">
        <v>29</v>
      </c>
      <c r="B3" s="1">
        <v>6</v>
      </c>
      <c r="C3" s="1" t="s">
        <v>16</v>
      </c>
      <c r="D3" s="1" t="s">
        <v>22</v>
      </c>
      <c r="E3" s="1">
        <v>1.6500000000000001E-2</v>
      </c>
      <c r="F3" s="1">
        <v>1.15E-2</v>
      </c>
      <c r="G3" s="1" t="s">
        <v>197</v>
      </c>
      <c r="H3" s="1">
        <v>2.0000000000000002E-5</v>
      </c>
      <c r="I3" s="1">
        <v>0.15</v>
      </c>
      <c r="J3" s="5">
        <v>0.99250000000000005</v>
      </c>
      <c r="K3" s="1" t="b">
        <v>1</v>
      </c>
      <c r="L3" s="1">
        <f t="shared" si="0"/>
        <v>1.1628552E-2</v>
      </c>
      <c r="M3" s="1">
        <v>1.1628552E-2</v>
      </c>
      <c r="N3" s="1">
        <f t="shared" si="1"/>
        <v>1.1628552E-2</v>
      </c>
      <c r="O3" s="1">
        <v>1.1628552E-2</v>
      </c>
      <c r="P3" s="1">
        <f t="shared" si="2"/>
        <v>0.26450000000000001</v>
      </c>
      <c r="Q3" s="1">
        <v>1</v>
      </c>
      <c r="R3" s="1">
        <v>0.23</v>
      </c>
      <c r="S3" s="1">
        <v>0.23</v>
      </c>
      <c r="T3" s="1">
        <v>8.9450399999999996E-3</v>
      </c>
      <c r="U3" s="1">
        <v>8.9450399999999996E-3</v>
      </c>
      <c r="V3" s="1">
        <v>8.9450399999999996E-3</v>
      </c>
      <c r="W3" s="1">
        <v>8.9450399999999996E-3</v>
      </c>
      <c r="X3" s="6">
        <v>7.7539359940212549E-2</v>
      </c>
      <c r="Y3" s="1" t="s">
        <v>194</v>
      </c>
      <c r="Z3" s="1" t="s">
        <v>194</v>
      </c>
      <c r="AA3" s="2">
        <v>186</v>
      </c>
      <c r="AB3" s="3">
        <v>1049</v>
      </c>
    </row>
    <row r="4" spans="1:28" x14ac:dyDescent="0.25">
      <c r="A4" s="1" t="s">
        <v>30</v>
      </c>
      <c r="B4" s="1">
        <v>3</v>
      </c>
      <c r="C4" s="1" t="s">
        <v>16</v>
      </c>
      <c r="D4" s="1" t="s">
        <v>22</v>
      </c>
      <c r="E4" s="1">
        <v>1.6500000000000001E-2</v>
      </c>
      <c r="F4" s="1">
        <v>1.15E-2</v>
      </c>
      <c r="G4" s="1" t="s">
        <v>197</v>
      </c>
      <c r="H4" s="1">
        <v>2.0000000000000002E-5</v>
      </c>
      <c r="I4" s="1">
        <v>0.15</v>
      </c>
      <c r="J4" s="5">
        <v>1.0049999999999999</v>
      </c>
      <c r="K4" s="1" t="b">
        <v>1</v>
      </c>
      <c r="L4" s="1">
        <f t="shared" si="0"/>
        <v>1.4212224000000001E-2</v>
      </c>
      <c r="M4" s="1">
        <v>1.4212224000000001E-2</v>
      </c>
      <c r="N4" s="1">
        <f t="shared" si="1"/>
        <v>1.4212224000000001E-2</v>
      </c>
      <c r="O4" s="1">
        <v>1.4212224000000001E-2</v>
      </c>
      <c r="P4" s="1">
        <f t="shared" si="2"/>
        <v>0.26450000000000001</v>
      </c>
      <c r="Q4" s="1">
        <v>1</v>
      </c>
      <c r="R4" s="1">
        <v>0.23</v>
      </c>
      <c r="S4" s="1">
        <v>0.23</v>
      </c>
      <c r="T4" s="1">
        <v>1.093248E-2</v>
      </c>
      <c r="U4" s="1">
        <v>1.093248E-2</v>
      </c>
      <c r="V4" s="1">
        <v>1.093248E-2</v>
      </c>
      <c r="W4" s="1">
        <v>1.093248E-2</v>
      </c>
      <c r="X4" s="6">
        <v>7.6511353908629509E-2</v>
      </c>
      <c r="Y4" s="1" t="s">
        <v>195</v>
      </c>
      <c r="Z4" s="1" t="s">
        <v>195</v>
      </c>
      <c r="AA4" s="2">
        <v>63</v>
      </c>
      <c r="AB4" s="3">
        <v>1049</v>
      </c>
    </row>
    <row r="5" spans="1:28" x14ac:dyDescent="0.25">
      <c r="A5" s="1" t="s">
        <v>31</v>
      </c>
      <c r="B5" s="1">
        <v>12</v>
      </c>
      <c r="C5" s="1" t="s">
        <v>16</v>
      </c>
      <c r="D5" s="1" t="s">
        <v>22</v>
      </c>
      <c r="E5" s="1">
        <v>1.6500000000000001E-2</v>
      </c>
      <c r="F5" s="1">
        <v>1.15E-2</v>
      </c>
      <c r="G5" s="1" t="s">
        <v>197</v>
      </c>
      <c r="H5" s="1">
        <v>2.0000000000000002E-5</v>
      </c>
      <c r="I5" s="1">
        <v>0.15</v>
      </c>
      <c r="J5" s="5">
        <v>0.98250000000000004</v>
      </c>
      <c r="K5" s="1" t="b">
        <v>1</v>
      </c>
      <c r="L5" s="1">
        <f t="shared" si="0"/>
        <v>1.3044096E-2</v>
      </c>
      <c r="M5" s="1">
        <v>1.3044096E-2</v>
      </c>
      <c r="N5" s="1">
        <f t="shared" si="1"/>
        <v>1.3044096E-2</v>
      </c>
      <c r="O5" s="1">
        <v>1.3044096E-2</v>
      </c>
      <c r="P5" s="1">
        <f t="shared" si="2"/>
        <v>0.26450000000000001</v>
      </c>
      <c r="Q5" s="1">
        <v>1</v>
      </c>
      <c r="R5" s="1">
        <v>0.23</v>
      </c>
      <c r="S5" s="1">
        <v>0.23</v>
      </c>
      <c r="T5" s="1">
        <v>1.003392E-2</v>
      </c>
      <c r="U5" s="1">
        <v>1.003392E-2</v>
      </c>
      <c r="V5" s="1">
        <v>1.003392E-2</v>
      </c>
      <c r="W5" s="1">
        <v>1.003392E-2</v>
      </c>
      <c r="X5" s="6">
        <v>6.365648055955031E-2</v>
      </c>
      <c r="Y5" s="1" t="s">
        <v>193</v>
      </c>
      <c r="Z5" s="1" t="s">
        <v>193</v>
      </c>
      <c r="AA5" s="2">
        <v>132</v>
      </c>
      <c r="AB5" s="3">
        <v>1099</v>
      </c>
    </row>
    <row r="6" spans="1:28" x14ac:dyDescent="0.25">
      <c r="A6" s="1" t="s">
        <v>32</v>
      </c>
      <c r="B6" s="1">
        <v>6</v>
      </c>
      <c r="C6" s="1" t="s">
        <v>16</v>
      </c>
      <c r="D6" s="1" t="s">
        <v>22</v>
      </c>
      <c r="E6" s="1">
        <v>1.6500000000000001E-2</v>
      </c>
      <c r="F6" s="1">
        <v>1.15E-2</v>
      </c>
      <c r="G6" s="1" t="s">
        <v>197</v>
      </c>
      <c r="H6" s="1">
        <v>2.0000000000000002E-5</v>
      </c>
      <c r="I6" s="1">
        <v>0.15</v>
      </c>
      <c r="J6" s="5">
        <v>0.99250000000000005</v>
      </c>
      <c r="K6" s="1" t="b">
        <v>1</v>
      </c>
      <c r="L6" s="1">
        <f t="shared" si="0"/>
        <v>1.1628552E-2</v>
      </c>
      <c r="M6" s="1">
        <v>1.1628552E-2</v>
      </c>
      <c r="N6" s="1">
        <f t="shared" si="1"/>
        <v>1.1628552E-2</v>
      </c>
      <c r="O6" s="1">
        <v>1.1628552E-2</v>
      </c>
      <c r="P6" s="1">
        <f t="shared" si="2"/>
        <v>0.26450000000000001</v>
      </c>
      <c r="Q6" s="1">
        <v>1</v>
      </c>
      <c r="R6" s="1">
        <v>0.23</v>
      </c>
      <c r="S6" s="1">
        <v>0.23</v>
      </c>
      <c r="T6" s="1">
        <v>8.9450399999999996E-3</v>
      </c>
      <c r="U6" s="1">
        <v>8.9450399999999996E-3</v>
      </c>
      <c r="V6" s="1">
        <v>8.9450399999999996E-3</v>
      </c>
      <c r="W6" s="1">
        <v>8.9450399999999996E-3</v>
      </c>
      <c r="X6" s="6">
        <v>8.131155160000425E-2</v>
      </c>
      <c r="Y6" s="1" t="s">
        <v>194</v>
      </c>
      <c r="Z6" s="1" t="s">
        <v>194</v>
      </c>
      <c r="AA6" s="2">
        <v>186</v>
      </c>
      <c r="AB6" s="3">
        <v>1099</v>
      </c>
    </row>
    <row r="7" spans="1:28" x14ac:dyDescent="0.25">
      <c r="A7" s="1" t="s">
        <v>33</v>
      </c>
      <c r="B7" s="1">
        <v>3</v>
      </c>
      <c r="C7" s="1" t="s">
        <v>16</v>
      </c>
      <c r="D7" s="1" t="s">
        <v>22</v>
      </c>
      <c r="E7" s="1">
        <v>1.6500000000000001E-2</v>
      </c>
      <c r="F7" s="1">
        <v>1.15E-2</v>
      </c>
      <c r="G7" s="1" t="s">
        <v>197</v>
      </c>
      <c r="H7" s="1">
        <v>2.0000000000000002E-5</v>
      </c>
      <c r="I7" s="1">
        <v>0.15</v>
      </c>
      <c r="J7" s="5">
        <v>1.0049999999999999</v>
      </c>
      <c r="K7" s="1" t="b">
        <v>1</v>
      </c>
      <c r="L7" s="1">
        <f t="shared" si="0"/>
        <v>1.4212224000000001E-2</v>
      </c>
      <c r="M7" s="1">
        <v>1.4212224000000001E-2</v>
      </c>
      <c r="N7" s="1">
        <f t="shared" si="1"/>
        <v>1.4212224000000001E-2</v>
      </c>
      <c r="O7" s="1">
        <v>1.4212224000000001E-2</v>
      </c>
      <c r="P7" s="1">
        <f t="shared" si="2"/>
        <v>0.26450000000000001</v>
      </c>
      <c r="Q7" s="1">
        <v>1</v>
      </c>
      <c r="R7" s="1">
        <v>0.23</v>
      </c>
      <c r="S7" s="1">
        <v>0.23</v>
      </c>
      <c r="T7" s="1">
        <v>1.093248E-2</v>
      </c>
      <c r="U7" s="1">
        <v>1.093248E-2</v>
      </c>
      <c r="V7" s="1">
        <v>1.093248E-2</v>
      </c>
      <c r="W7" s="1">
        <v>1.093248E-2</v>
      </c>
      <c r="X7" s="6">
        <v>8.069701081547187E-2</v>
      </c>
      <c r="Y7" s="1" t="s">
        <v>195</v>
      </c>
      <c r="Z7" s="1" t="s">
        <v>195</v>
      </c>
      <c r="AA7" s="2">
        <v>63</v>
      </c>
      <c r="AB7" s="3">
        <v>1099</v>
      </c>
    </row>
    <row r="8" spans="1:28" x14ac:dyDescent="0.25">
      <c r="A8" s="1" t="s">
        <v>34</v>
      </c>
      <c r="B8" s="1">
        <v>12</v>
      </c>
      <c r="C8" s="1" t="s">
        <v>16</v>
      </c>
      <c r="D8" s="1" t="s">
        <v>22</v>
      </c>
      <c r="E8" s="1">
        <v>1.6500000000000001E-2</v>
      </c>
      <c r="F8" s="1">
        <v>1.15E-2</v>
      </c>
      <c r="G8" s="1" t="s">
        <v>197</v>
      </c>
      <c r="H8" s="1">
        <v>2.0000000000000002E-5</v>
      </c>
      <c r="I8" s="1">
        <v>0.15</v>
      </c>
      <c r="J8" s="5">
        <v>0.98250000000000004</v>
      </c>
      <c r="K8" s="1" t="b">
        <v>1</v>
      </c>
      <c r="L8" s="1">
        <f t="shared" si="0"/>
        <v>1.8720000000000001E-2</v>
      </c>
      <c r="M8" s="1">
        <v>1.8720000000000001E-2</v>
      </c>
      <c r="N8" s="1">
        <f t="shared" si="1"/>
        <v>1.3044096E-2</v>
      </c>
      <c r="O8" s="1">
        <v>1.3044096E-2</v>
      </c>
      <c r="P8" s="1">
        <f t="shared" si="2"/>
        <v>0.26450000000000001</v>
      </c>
      <c r="Q8" s="1">
        <v>1</v>
      </c>
      <c r="R8" s="1">
        <v>0.23</v>
      </c>
      <c r="S8" s="1">
        <v>0.23</v>
      </c>
      <c r="T8" s="1">
        <v>1.44E-2</v>
      </c>
      <c r="U8" s="1">
        <v>1.44E-2</v>
      </c>
      <c r="V8" s="1">
        <v>1.003392E-2</v>
      </c>
      <c r="W8" s="1">
        <v>1.003392E-2</v>
      </c>
      <c r="X8" s="6">
        <v>6.4808875152794876E-2</v>
      </c>
      <c r="Y8" s="1" t="s">
        <v>193</v>
      </c>
      <c r="Z8" s="1" t="s">
        <v>193</v>
      </c>
      <c r="AA8" s="2">
        <v>132</v>
      </c>
      <c r="AB8" s="3">
        <v>1149</v>
      </c>
    </row>
    <row r="9" spans="1:28" x14ac:dyDescent="0.25">
      <c r="A9" s="1" t="s">
        <v>35</v>
      </c>
      <c r="B9" s="1">
        <v>6</v>
      </c>
      <c r="C9" s="1" t="s">
        <v>16</v>
      </c>
      <c r="D9" s="1" t="s">
        <v>22</v>
      </c>
      <c r="E9" s="1">
        <v>1.6500000000000001E-2</v>
      </c>
      <c r="F9" s="1">
        <v>1.15E-2</v>
      </c>
      <c r="G9" s="1" t="s">
        <v>197</v>
      </c>
      <c r="H9" s="1">
        <v>2.0000000000000002E-5</v>
      </c>
      <c r="I9" s="1">
        <v>0.15</v>
      </c>
      <c r="J9" s="5">
        <v>0.99250000000000005</v>
      </c>
      <c r="K9" s="1" t="b">
        <v>1</v>
      </c>
      <c r="L9" s="1">
        <f t="shared" si="0"/>
        <v>1.703E-2</v>
      </c>
      <c r="M9" s="1">
        <v>1.703E-2</v>
      </c>
      <c r="N9" s="1">
        <f t="shared" si="1"/>
        <v>1.1628552E-2</v>
      </c>
      <c r="O9" s="1">
        <v>1.1628552E-2</v>
      </c>
      <c r="P9" s="1">
        <f t="shared" si="2"/>
        <v>0.26450000000000001</v>
      </c>
      <c r="Q9" s="1">
        <v>1</v>
      </c>
      <c r="R9" s="1">
        <v>0.23</v>
      </c>
      <c r="S9" s="1">
        <v>0.23</v>
      </c>
      <c r="T9" s="1">
        <v>1.3100000000000001E-2</v>
      </c>
      <c r="U9" s="1">
        <v>1.3100000000000001E-2</v>
      </c>
      <c r="V9" s="1">
        <v>8.9450399999999996E-3</v>
      </c>
      <c r="W9" s="1">
        <v>8.9450399999999996E-3</v>
      </c>
      <c r="X9" s="6">
        <v>8.4249886180868927E-2</v>
      </c>
      <c r="Y9" s="1" t="s">
        <v>194</v>
      </c>
      <c r="Z9" s="1" t="s">
        <v>194</v>
      </c>
      <c r="AA9" s="2">
        <v>186</v>
      </c>
      <c r="AB9" s="3">
        <v>1149</v>
      </c>
    </row>
    <row r="10" spans="1:28" x14ac:dyDescent="0.25">
      <c r="A10" s="1" t="s">
        <v>36</v>
      </c>
      <c r="B10" s="1">
        <v>3</v>
      </c>
      <c r="C10" s="1" t="s">
        <v>16</v>
      </c>
      <c r="D10" s="1" t="s">
        <v>22</v>
      </c>
      <c r="E10" s="1">
        <v>1.6500000000000001E-2</v>
      </c>
      <c r="F10" s="1">
        <v>1.15E-2</v>
      </c>
      <c r="G10" s="1" t="s">
        <v>197</v>
      </c>
      <c r="H10" s="1">
        <v>2.0000000000000002E-5</v>
      </c>
      <c r="I10" s="1">
        <v>0.15</v>
      </c>
      <c r="J10" s="5">
        <v>1.0049999999999999</v>
      </c>
      <c r="K10" s="1" t="b">
        <v>1</v>
      </c>
      <c r="L10" s="1">
        <f t="shared" si="0"/>
        <v>2.0279999999999999E-2</v>
      </c>
      <c r="M10" s="1">
        <v>2.0279999999999999E-2</v>
      </c>
      <c r="N10" s="1">
        <f t="shared" si="1"/>
        <v>1.4212224000000001E-2</v>
      </c>
      <c r="O10" s="1">
        <v>1.4212224000000001E-2</v>
      </c>
      <c r="P10" s="1">
        <f t="shared" si="2"/>
        <v>0.26450000000000001</v>
      </c>
      <c r="Q10" s="1">
        <v>1</v>
      </c>
      <c r="R10" s="1">
        <v>0.23</v>
      </c>
      <c r="S10" s="1">
        <v>0.23</v>
      </c>
      <c r="T10" s="1">
        <v>1.5599999999999999E-2</v>
      </c>
      <c r="U10" s="1">
        <v>1.5599999999999999E-2</v>
      </c>
      <c r="V10" s="1">
        <v>1.093248E-2</v>
      </c>
      <c r="W10" s="1">
        <v>1.093248E-2</v>
      </c>
      <c r="X10" s="6">
        <v>8.4261029754977734E-2</v>
      </c>
      <c r="Y10" s="1" t="s">
        <v>195</v>
      </c>
      <c r="Z10" s="1" t="s">
        <v>195</v>
      </c>
      <c r="AA10" s="2">
        <v>63</v>
      </c>
      <c r="AB10" s="3">
        <v>1149</v>
      </c>
    </row>
    <row r="11" spans="1:28" x14ac:dyDescent="0.25">
      <c r="A11" s="1" t="s">
        <v>37</v>
      </c>
      <c r="B11" s="1">
        <v>12</v>
      </c>
      <c r="C11" s="1" t="s">
        <v>16</v>
      </c>
      <c r="D11" s="1" t="s">
        <v>22</v>
      </c>
      <c r="E11" s="1">
        <v>1.6500000000000001E-2</v>
      </c>
      <c r="F11" s="1">
        <v>1.15E-2</v>
      </c>
      <c r="G11" s="1" t="s">
        <v>197</v>
      </c>
      <c r="H11" s="1">
        <v>2.0000000000000002E-5</v>
      </c>
      <c r="I11" s="1">
        <v>0.15</v>
      </c>
      <c r="J11" s="5">
        <v>0.98250000000000004</v>
      </c>
      <c r="K11" s="1" t="b">
        <v>1</v>
      </c>
      <c r="L11" s="1">
        <f t="shared" si="0"/>
        <v>1.2070655999999999E-2</v>
      </c>
      <c r="M11" s="1">
        <v>1.2070655999999999E-2</v>
      </c>
      <c r="N11" s="1">
        <f t="shared" si="1"/>
        <v>1.2070655999999999E-2</v>
      </c>
      <c r="O11" s="1">
        <v>1.2070655999999999E-2</v>
      </c>
      <c r="P11" s="1">
        <f t="shared" si="2"/>
        <v>0.26450000000000001</v>
      </c>
      <c r="Q11" s="1">
        <v>1</v>
      </c>
      <c r="R11" s="1">
        <v>0.23</v>
      </c>
      <c r="S11" s="1">
        <v>0.23</v>
      </c>
      <c r="T11" s="1">
        <v>9.2851199999999991E-3</v>
      </c>
      <c r="U11" s="1">
        <v>9.2851199999999991E-3</v>
      </c>
      <c r="V11" s="1">
        <v>9.2851199999999991E-3</v>
      </c>
      <c r="W11" s="1">
        <v>9.2851199999999991E-3</v>
      </c>
      <c r="X11" s="6">
        <v>6.9913490619463836E-2</v>
      </c>
      <c r="Y11" s="1" t="s">
        <v>193</v>
      </c>
      <c r="Z11" s="1" t="s">
        <v>193</v>
      </c>
      <c r="AA11" s="2">
        <v>132</v>
      </c>
      <c r="AB11" s="3">
        <v>1199</v>
      </c>
    </row>
    <row r="12" spans="1:28" x14ac:dyDescent="0.25">
      <c r="A12" s="1" t="s">
        <v>38</v>
      </c>
      <c r="B12" s="1">
        <v>6</v>
      </c>
      <c r="C12" s="1" t="s">
        <v>16</v>
      </c>
      <c r="D12" s="1" t="s">
        <v>22</v>
      </c>
      <c r="E12" s="1">
        <v>1.6500000000000001E-2</v>
      </c>
      <c r="F12" s="1">
        <v>1.15E-2</v>
      </c>
      <c r="G12" s="1" t="s">
        <v>197</v>
      </c>
      <c r="H12" s="1">
        <v>2.0000000000000002E-5</v>
      </c>
      <c r="I12" s="1">
        <v>0.15</v>
      </c>
      <c r="J12" s="5">
        <v>0.99250000000000005</v>
      </c>
      <c r="K12" s="1" t="b">
        <v>1</v>
      </c>
      <c r="L12" s="1">
        <f t="shared" si="0"/>
        <v>1.1097216E-2</v>
      </c>
      <c r="M12" s="1">
        <v>1.1097216E-2</v>
      </c>
      <c r="N12" s="1">
        <f t="shared" si="1"/>
        <v>1.1097216E-2</v>
      </c>
      <c r="O12" s="1">
        <v>1.1097216E-2</v>
      </c>
      <c r="P12" s="1">
        <f t="shared" si="2"/>
        <v>0.26450000000000001</v>
      </c>
      <c r="Q12" s="1">
        <v>1</v>
      </c>
      <c r="R12" s="1">
        <v>0.23</v>
      </c>
      <c r="S12" s="1">
        <v>0.23</v>
      </c>
      <c r="T12" s="1">
        <v>8.53632E-3</v>
      </c>
      <c r="U12" s="1">
        <v>8.53632E-3</v>
      </c>
      <c r="V12" s="1">
        <v>8.53632E-3</v>
      </c>
      <c r="W12" s="1">
        <v>8.53632E-3</v>
      </c>
      <c r="X12" s="6">
        <v>8.9186273650551762E-2</v>
      </c>
      <c r="Y12" s="1" t="s">
        <v>194</v>
      </c>
      <c r="Z12" s="1" t="s">
        <v>194</v>
      </c>
      <c r="AA12" s="2">
        <v>186</v>
      </c>
      <c r="AB12" s="3">
        <v>1199</v>
      </c>
    </row>
    <row r="13" spans="1:28" x14ac:dyDescent="0.25">
      <c r="A13" s="1" t="s">
        <v>39</v>
      </c>
      <c r="B13" s="1">
        <v>3</v>
      </c>
      <c r="C13" s="1" t="s">
        <v>16</v>
      </c>
      <c r="D13" s="1" t="s">
        <v>22</v>
      </c>
      <c r="E13" s="1">
        <v>1.6500000000000001E-2</v>
      </c>
      <c r="F13" s="1">
        <v>1.15E-2</v>
      </c>
      <c r="G13" s="1" t="s">
        <v>197</v>
      </c>
      <c r="H13" s="1">
        <v>2.0000000000000002E-5</v>
      </c>
      <c r="I13" s="1">
        <v>0.15</v>
      </c>
      <c r="J13" s="5">
        <v>1.0049999999999999</v>
      </c>
      <c r="K13" s="1" t="b">
        <v>1</v>
      </c>
      <c r="L13" s="1">
        <f t="shared" si="0"/>
        <v>1.2265343999999999E-2</v>
      </c>
      <c r="M13" s="1">
        <v>1.2265343999999999E-2</v>
      </c>
      <c r="N13" s="1">
        <f t="shared" si="1"/>
        <v>1.2265343999999999E-2</v>
      </c>
      <c r="O13" s="1">
        <v>1.2265343999999999E-2</v>
      </c>
      <c r="P13" s="1">
        <f t="shared" si="2"/>
        <v>0.26450000000000001</v>
      </c>
      <c r="Q13" s="1">
        <v>1</v>
      </c>
      <c r="R13" s="1">
        <v>0.23</v>
      </c>
      <c r="S13" s="1">
        <v>0.23</v>
      </c>
      <c r="T13" s="1">
        <v>9.4348799999999997E-3</v>
      </c>
      <c r="U13" s="1">
        <v>9.4348799999999997E-3</v>
      </c>
      <c r="V13" s="1">
        <v>9.4348799999999997E-3</v>
      </c>
      <c r="W13" s="1">
        <v>9.4348799999999997E-3</v>
      </c>
      <c r="X13" s="6">
        <v>9.0397598183409755E-2</v>
      </c>
      <c r="Y13" s="1" t="s">
        <v>195</v>
      </c>
      <c r="Z13" s="1" t="s">
        <v>195</v>
      </c>
      <c r="AA13" s="2">
        <v>63</v>
      </c>
      <c r="AB13" s="3">
        <v>1199</v>
      </c>
    </row>
    <row r="14" spans="1:28" x14ac:dyDescent="0.25">
      <c r="A14" s="1" t="s">
        <v>70</v>
      </c>
      <c r="B14" s="1">
        <v>12</v>
      </c>
      <c r="C14" s="1" t="s">
        <v>16</v>
      </c>
      <c r="D14" s="1" t="s">
        <v>22</v>
      </c>
      <c r="E14" s="1">
        <v>1.6500000000000001E-2</v>
      </c>
      <c r="F14" s="1">
        <v>1.15E-2</v>
      </c>
      <c r="G14" s="1" t="s">
        <v>197</v>
      </c>
      <c r="H14" s="1">
        <v>2.0000000000000002E-5</v>
      </c>
      <c r="I14" s="1">
        <v>0.15</v>
      </c>
      <c r="J14" s="5">
        <v>0.98250000000000004</v>
      </c>
      <c r="K14" s="1" t="b">
        <v>1</v>
      </c>
      <c r="L14" s="1">
        <f t="shared" si="0"/>
        <v>3.4450000000000001E-2</v>
      </c>
      <c r="M14" s="1">
        <v>3.4450000000000001E-2</v>
      </c>
      <c r="N14" s="1">
        <f t="shared" si="1"/>
        <v>1.2070655999999999E-2</v>
      </c>
      <c r="O14" s="1">
        <v>1.2070655999999999E-2</v>
      </c>
      <c r="P14" s="1">
        <f t="shared" si="2"/>
        <v>0.26450000000000001</v>
      </c>
      <c r="Q14" s="1">
        <v>1</v>
      </c>
      <c r="R14" s="1">
        <v>0.23</v>
      </c>
      <c r="S14" s="1">
        <v>0.23</v>
      </c>
      <c r="T14" s="1">
        <v>2.6499999999999999E-2</v>
      </c>
      <c r="U14" s="1">
        <v>2.6499999999999999E-2</v>
      </c>
      <c r="V14" s="1">
        <v>9.2851199999999991E-3</v>
      </c>
      <c r="W14" s="1">
        <v>9.2851199999999991E-3</v>
      </c>
      <c r="X14" s="6">
        <v>6.6130912918461071E-2</v>
      </c>
      <c r="Y14" s="1" t="s">
        <v>193</v>
      </c>
      <c r="Z14" s="1" t="s">
        <v>193</v>
      </c>
      <c r="AA14" s="2">
        <v>132</v>
      </c>
      <c r="AB14" s="3">
        <v>1249</v>
      </c>
    </row>
    <row r="15" spans="1:28" x14ac:dyDescent="0.25">
      <c r="A15" s="1" t="s">
        <v>68</v>
      </c>
      <c r="B15" s="1">
        <v>6</v>
      </c>
      <c r="C15" s="1" t="s">
        <v>16</v>
      </c>
      <c r="D15" s="1" t="s">
        <v>22</v>
      </c>
      <c r="E15" s="1">
        <v>1.6500000000000001E-2</v>
      </c>
      <c r="F15" s="1">
        <v>1.15E-2</v>
      </c>
      <c r="G15" s="1" t="s">
        <v>197</v>
      </c>
      <c r="H15" s="1">
        <v>2.0000000000000002E-5</v>
      </c>
      <c r="I15" s="1">
        <v>0.15</v>
      </c>
      <c r="J15" s="5">
        <v>0.99250000000000005</v>
      </c>
      <c r="K15" s="1" t="b">
        <v>1</v>
      </c>
      <c r="L15" s="1">
        <f t="shared" si="0"/>
        <v>3.1720000000000005E-2</v>
      </c>
      <c r="M15" s="1">
        <v>3.1720000000000005E-2</v>
      </c>
      <c r="N15" s="1">
        <f t="shared" si="1"/>
        <v>1.1097216E-2</v>
      </c>
      <c r="O15" s="1">
        <v>1.1097216E-2</v>
      </c>
      <c r="P15" s="1">
        <f t="shared" si="2"/>
        <v>0.26450000000000001</v>
      </c>
      <c r="Q15" s="1">
        <v>1</v>
      </c>
      <c r="R15" s="1">
        <v>0.23</v>
      </c>
      <c r="S15" s="1">
        <v>0.23</v>
      </c>
      <c r="T15" s="1">
        <v>2.4400000000000002E-2</v>
      </c>
      <c r="U15" s="1">
        <v>2.4400000000000002E-2</v>
      </c>
      <c r="V15" s="1">
        <v>8.53632E-3</v>
      </c>
      <c r="W15" s="1">
        <v>8.53632E-3</v>
      </c>
      <c r="X15" s="6">
        <v>8.9731936113552457E-2</v>
      </c>
      <c r="Y15" s="1" t="s">
        <v>194</v>
      </c>
      <c r="Z15" s="1" t="s">
        <v>194</v>
      </c>
      <c r="AA15" s="2">
        <v>186</v>
      </c>
      <c r="AB15" s="3">
        <v>1249</v>
      </c>
    </row>
    <row r="16" spans="1:28" x14ac:dyDescent="0.25">
      <c r="A16" s="1" t="s">
        <v>66</v>
      </c>
      <c r="B16" s="1">
        <v>3</v>
      </c>
      <c r="C16" s="1" t="s">
        <v>16</v>
      </c>
      <c r="D16" s="1" t="s">
        <v>22</v>
      </c>
      <c r="E16" s="1">
        <v>1.6500000000000001E-2</v>
      </c>
      <c r="F16" s="1">
        <v>1.15E-2</v>
      </c>
      <c r="G16" s="1" t="s">
        <v>197</v>
      </c>
      <c r="H16" s="1">
        <v>2.0000000000000002E-5</v>
      </c>
      <c r="I16" s="1">
        <v>0.15</v>
      </c>
      <c r="J16" s="5">
        <v>1.0049999999999999</v>
      </c>
      <c r="K16" s="1" t="b">
        <v>1</v>
      </c>
      <c r="L16" s="1">
        <f t="shared" si="0"/>
        <v>3.4970000000000001E-2</v>
      </c>
      <c r="M16" s="1">
        <v>3.4970000000000001E-2</v>
      </c>
      <c r="N16" s="1">
        <f t="shared" si="1"/>
        <v>1.2265343999999999E-2</v>
      </c>
      <c r="O16" s="1">
        <v>1.2265343999999999E-2</v>
      </c>
      <c r="P16" s="1">
        <f t="shared" si="2"/>
        <v>0.26450000000000001</v>
      </c>
      <c r="Q16" s="1">
        <v>1</v>
      </c>
      <c r="R16" s="1">
        <v>0.23</v>
      </c>
      <c r="S16" s="1">
        <v>0.23</v>
      </c>
      <c r="T16" s="1">
        <v>2.69E-2</v>
      </c>
      <c r="U16" s="1">
        <v>2.69E-2</v>
      </c>
      <c r="V16" s="1">
        <v>9.4348799999999997E-3</v>
      </c>
      <c r="W16" s="1">
        <v>9.4348799999999997E-3</v>
      </c>
      <c r="X16" s="6">
        <v>9.223251066937177E-2</v>
      </c>
      <c r="Y16" s="1" t="s">
        <v>195</v>
      </c>
      <c r="Z16" s="1" t="s">
        <v>195</v>
      </c>
      <c r="AA16" s="2">
        <v>63</v>
      </c>
      <c r="AB16" s="3">
        <v>1249</v>
      </c>
    </row>
    <row r="17" spans="1:28" x14ac:dyDescent="0.25">
      <c r="A17" s="1" t="s">
        <v>40</v>
      </c>
      <c r="B17" s="1">
        <v>8</v>
      </c>
      <c r="C17" s="1" t="s">
        <v>16</v>
      </c>
      <c r="D17" s="1" t="s">
        <v>22</v>
      </c>
      <c r="E17" s="1">
        <v>1.6500000000000001E-2</v>
      </c>
      <c r="F17" s="1">
        <v>1.15E-2</v>
      </c>
      <c r="G17" s="1" t="s">
        <v>197</v>
      </c>
      <c r="H17" s="1">
        <v>2.0000000000000002E-5</v>
      </c>
      <c r="I17" s="1">
        <v>0.15</v>
      </c>
      <c r="J17" s="5">
        <v>0.98250000000000004</v>
      </c>
      <c r="K17" s="1" t="b">
        <v>1</v>
      </c>
      <c r="L17" s="1">
        <f t="shared" si="0"/>
        <v>3.4450000000000001E-2</v>
      </c>
      <c r="M17" s="1">
        <v>3.4450000000000001E-2</v>
      </c>
      <c r="N17" s="1">
        <f t="shared" si="1"/>
        <v>2.3798612788453771E-2</v>
      </c>
      <c r="O17" s="1">
        <v>2.3798612788453771E-2</v>
      </c>
      <c r="P17" s="1">
        <f t="shared" si="2"/>
        <v>0.26450000000000001</v>
      </c>
      <c r="Q17" s="1">
        <v>1</v>
      </c>
      <c r="R17" s="1">
        <v>0.23</v>
      </c>
      <c r="S17" s="1">
        <v>0.23</v>
      </c>
      <c r="T17" s="1">
        <v>2.6499999999999999E-2</v>
      </c>
      <c r="U17" s="1">
        <v>2.6499999999999999E-2</v>
      </c>
      <c r="V17" s="1">
        <v>1.8306625221887515E-2</v>
      </c>
      <c r="W17" s="1">
        <v>1.8306625221887515E-2</v>
      </c>
      <c r="X17" s="6">
        <v>7.1466110526004378E-2</v>
      </c>
      <c r="Y17" s="1" t="s">
        <v>196</v>
      </c>
      <c r="Z17" s="1" t="s">
        <v>196</v>
      </c>
      <c r="AA17" s="2">
        <v>128</v>
      </c>
      <c r="AB17" s="3">
        <v>1349</v>
      </c>
    </row>
    <row r="18" spans="1:28" x14ac:dyDescent="0.25">
      <c r="A18" s="1" t="s">
        <v>41</v>
      </c>
      <c r="B18" s="1">
        <v>12</v>
      </c>
      <c r="C18" s="1" t="s">
        <v>16</v>
      </c>
      <c r="D18" s="1" t="s">
        <v>22</v>
      </c>
      <c r="E18" s="1">
        <v>1.6500000000000001E-2</v>
      </c>
      <c r="F18" s="1">
        <v>1.15E-2</v>
      </c>
      <c r="G18" s="1" t="s">
        <v>197</v>
      </c>
      <c r="H18" s="1">
        <v>2.0000000000000002E-5</v>
      </c>
      <c r="I18" s="1">
        <v>0.15</v>
      </c>
      <c r="J18" s="5">
        <v>0.98250000000000004</v>
      </c>
      <c r="K18" s="1" t="b">
        <v>1</v>
      </c>
      <c r="L18" s="1">
        <f t="shared" si="0"/>
        <v>2.3798612788453771E-2</v>
      </c>
      <c r="M18" s="1">
        <v>2.3798612788453771E-2</v>
      </c>
      <c r="N18" s="1">
        <f t="shared" si="1"/>
        <v>2.3798612788453771E-2</v>
      </c>
      <c r="O18" s="1">
        <v>2.3798612788453771E-2</v>
      </c>
      <c r="P18" s="1">
        <f t="shared" si="2"/>
        <v>0.26450000000000001</v>
      </c>
      <c r="Q18" s="1">
        <v>1</v>
      </c>
      <c r="R18" s="1">
        <v>0.23</v>
      </c>
      <c r="S18" s="1">
        <v>0.23</v>
      </c>
      <c r="T18" s="1">
        <v>1.8306625221887515E-2</v>
      </c>
      <c r="U18" s="1">
        <v>1.8306625221887515E-2</v>
      </c>
      <c r="V18" s="1">
        <v>1.8306625221887515E-2</v>
      </c>
      <c r="W18" s="1">
        <v>1.8306625221887515E-2</v>
      </c>
      <c r="X18" s="6">
        <v>6.9974011372350375E-2</v>
      </c>
      <c r="Y18" s="1" t="s">
        <v>193</v>
      </c>
      <c r="Z18" s="1" t="s">
        <v>193</v>
      </c>
      <c r="AA18" s="2">
        <v>132</v>
      </c>
      <c r="AB18" s="3">
        <v>1349</v>
      </c>
    </row>
    <row r="19" spans="1:28" x14ac:dyDescent="0.25">
      <c r="A19" s="1" t="s">
        <v>42</v>
      </c>
      <c r="B19" s="1">
        <v>6</v>
      </c>
      <c r="C19" s="1" t="s">
        <v>16</v>
      </c>
      <c r="D19" s="1" t="s">
        <v>22</v>
      </c>
      <c r="E19" s="1">
        <v>1.6500000000000001E-2</v>
      </c>
      <c r="F19" s="1">
        <v>1.15E-2</v>
      </c>
      <c r="G19" s="1" t="s">
        <v>197</v>
      </c>
      <c r="H19" s="1">
        <v>2.0000000000000002E-5</v>
      </c>
      <c r="I19" s="1">
        <v>0.15</v>
      </c>
      <c r="J19" s="5">
        <v>0.99250000000000005</v>
      </c>
      <c r="K19" s="1" t="b">
        <v>1</v>
      </c>
      <c r="L19" s="1">
        <f t="shared" si="0"/>
        <v>2.0494967999999999E-2</v>
      </c>
      <c r="M19" s="1">
        <v>2.0494967999999999E-2</v>
      </c>
      <c r="N19" s="1">
        <f t="shared" si="1"/>
        <v>2.0494967999999999E-2</v>
      </c>
      <c r="O19" s="1">
        <v>2.0494967999999999E-2</v>
      </c>
      <c r="P19" s="1">
        <f t="shared" si="2"/>
        <v>0.26450000000000001</v>
      </c>
      <c r="Q19" s="1">
        <v>1</v>
      </c>
      <c r="R19" s="1">
        <v>0.23</v>
      </c>
      <c r="S19" s="1">
        <v>0.23</v>
      </c>
      <c r="T19" s="1">
        <v>1.5765359999999999E-2</v>
      </c>
      <c r="U19" s="1">
        <v>1.5765359999999999E-2</v>
      </c>
      <c r="V19" s="1">
        <v>1.5765359999999999E-2</v>
      </c>
      <c r="W19" s="1">
        <v>1.5765359999999999E-2</v>
      </c>
      <c r="X19" s="6">
        <v>9.3795811414786989E-2</v>
      </c>
      <c r="Y19" s="1" t="s">
        <v>194</v>
      </c>
      <c r="Z19" s="1" t="s">
        <v>194</v>
      </c>
      <c r="AA19" s="2">
        <v>186</v>
      </c>
      <c r="AB19" s="3">
        <v>1349</v>
      </c>
    </row>
    <row r="20" spans="1:28" x14ac:dyDescent="0.25">
      <c r="A20" s="1" t="s">
        <v>43</v>
      </c>
      <c r="B20" s="1">
        <v>3</v>
      </c>
      <c r="C20" s="1" t="s">
        <v>16</v>
      </c>
      <c r="D20" s="1" t="s">
        <v>22</v>
      </c>
      <c r="E20" s="1">
        <v>1.6500000000000001E-2</v>
      </c>
      <c r="F20" s="1">
        <v>1.15E-2</v>
      </c>
      <c r="G20" s="1" t="s">
        <v>197</v>
      </c>
      <c r="H20" s="1">
        <v>2.0000000000000002E-5</v>
      </c>
      <c r="I20" s="1">
        <v>0.15</v>
      </c>
      <c r="J20" s="5">
        <v>1.0049999999999999</v>
      </c>
      <c r="K20" s="1" t="b">
        <v>1</v>
      </c>
      <c r="L20" s="1">
        <f t="shared" si="0"/>
        <v>2.4950158568540246E-2</v>
      </c>
      <c r="M20" s="1">
        <v>2.4950158568540246E-2</v>
      </c>
      <c r="N20" s="1">
        <f t="shared" si="1"/>
        <v>2.4950158568540246E-2</v>
      </c>
      <c r="O20" s="1">
        <v>2.4950158568540246E-2</v>
      </c>
      <c r="P20" s="1">
        <f t="shared" si="2"/>
        <v>0.26450000000000001</v>
      </c>
      <c r="Q20" s="1">
        <v>1</v>
      </c>
      <c r="R20" s="1">
        <v>0.23</v>
      </c>
      <c r="S20" s="1">
        <v>0.23</v>
      </c>
      <c r="T20" s="1">
        <v>1.9192429668107882E-2</v>
      </c>
      <c r="U20" s="1">
        <v>1.9192429668107882E-2</v>
      </c>
      <c r="V20" s="1">
        <v>1.9192429668107882E-2</v>
      </c>
      <c r="W20" s="1">
        <v>1.9192429668107882E-2</v>
      </c>
      <c r="X20" s="6">
        <v>9.410417029597351E-2</v>
      </c>
      <c r="Y20" s="1" t="s">
        <v>195</v>
      </c>
      <c r="Z20" s="1" t="s">
        <v>195</v>
      </c>
      <c r="AA20" s="2">
        <v>63</v>
      </c>
      <c r="AB20" s="3">
        <v>1349</v>
      </c>
    </row>
    <row r="21" spans="1:28" x14ac:dyDescent="0.25">
      <c r="A21" s="1" t="s">
        <v>44</v>
      </c>
      <c r="B21" s="1">
        <v>12</v>
      </c>
      <c r="C21" s="1" t="s">
        <v>16</v>
      </c>
      <c r="D21" s="1" t="s">
        <v>22</v>
      </c>
      <c r="E21" s="1">
        <v>1.6500000000000001E-2</v>
      </c>
      <c r="F21" s="1">
        <v>1.15E-2</v>
      </c>
      <c r="G21" s="1" t="s">
        <v>197</v>
      </c>
      <c r="H21" s="1">
        <v>2.0000000000000002E-5</v>
      </c>
      <c r="I21" s="1">
        <v>0.15</v>
      </c>
      <c r="J21" s="5">
        <v>0.98250000000000004</v>
      </c>
      <c r="K21" s="1" t="b">
        <v>1</v>
      </c>
      <c r="L21" s="1">
        <f t="shared" si="0"/>
        <v>2.3798612788453771E-2</v>
      </c>
      <c r="M21" s="1">
        <v>2.3798612788453771E-2</v>
      </c>
      <c r="N21" s="1">
        <f t="shared" si="1"/>
        <v>2.3798612788453771E-2</v>
      </c>
      <c r="O21" s="1">
        <v>2.3798612788453771E-2</v>
      </c>
      <c r="P21" s="1">
        <f t="shared" si="2"/>
        <v>0.26450000000000001</v>
      </c>
      <c r="Q21" s="1">
        <v>1</v>
      </c>
      <c r="R21" s="1">
        <v>0.23</v>
      </c>
      <c r="S21" s="1">
        <v>0.23</v>
      </c>
      <c r="T21" s="1">
        <v>1.8306625221887515E-2</v>
      </c>
      <c r="U21" s="1">
        <v>1.8306625221887515E-2</v>
      </c>
      <c r="V21" s="1">
        <v>1.8306625221887515E-2</v>
      </c>
      <c r="W21" s="1">
        <v>1.8306625221887515E-2</v>
      </c>
      <c r="X21" s="6">
        <v>7.2701095664619686E-2</v>
      </c>
      <c r="Y21" s="1" t="s">
        <v>193</v>
      </c>
      <c r="Z21" s="1" t="s">
        <v>193</v>
      </c>
      <c r="AA21" s="2">
        <v>132</v>
      </c>
      <c r="AB21" s="3">
        <v>1399</v>
      </c>
    </row>
    <row r="22" spans="1:28" x14ac:dyDescent="0.25">
      <c r="A22" s="1" t="s">
        <v>45</v>
      </c>
      <c r="B22" s="1">
        <v>6</v>
      </c>
      <c r="C22" s="1" t="s">
        <v>16</v>
      </c>
      <c r="D22" s="1" t="s">
        <v>22</v>
      </c>
      <c r="E22" s="1">
        <v>1.6500000000000001E-2</v>
      </c>
      <c r="F22" s="1">
        <v>1.15E-2</v>
      </c>
      <c r="G22" s="1" t="s">
        <v>197</v>
      </c>
      <c r="H22" s="1">
        <v>2.0000000000000002E-5</v>
      </c>
      <c r="I22" s="1">
        <v>0.15</v>
      </c>
      <c r="J22" s="5">
        <v>0.99250000000000005</v>
      </c>
      <c r="K22" s="1" t="b">
        <v>1</v>
      </c>
      <c r="L22" s="1">
        <f t="shared" si="0"/>
        <v>2.0494967999999999E-2</v>
      </c>
      <c r="M22" s="1">
        <v>2.0494967999999999E-2</v>
      </c>
      <c r="N22" s="1">
        <f t="shared" si="1"/>
        <v>2.0494967999999999E-2</v>
      </c>
      <c r="O22" s="1">
        <v>2.0494967999999999E-2</v>
      </c>
      <c r="P22" s="1">
        <f t="shared" si="2"/>
        <v>0.26450000000000001</v>
      </c>
      <c r="Q22" s="1">
        <v>1</v>
      </c>
      <c r="R22" s="1">
        <v>0.23</v>
      </c>
      <c r="S22" s="1">
        <v>0.23</v>
      </c>
      <c r="T22" s="1">
        <v>1.5765359999999999E-2</v>
      </c>
      <c r="U22" s="1">
        <v>1.5765359999999999E-2</v>
      </c>
      <c r="V22" s="1">
        <v>1.5765359999999999E-2</v>
      </c>
      <c r="W22" s="1">
        <v>1.5765359999999999E-2</v>
      </c>
      <c r="X22" s="6">
        <v>9.7479194869714014E-2</v>
      </c>
      <c r="Y22" s="1" t="s">
        <v>194</v>
      </c>
      <c r="Z22" s="1" t="s">
        <v>194</v>
      </c>
      <c r="AA22" s="2">
        <v>186</v>
      </c>
      <c r="AB22" s="3">
        <v>1399</v>
      </c>
    </row>
    <row r="23" spans="1:28" x14ac:dyDescent="0.25">
      <c r="A23" s="1" t="s">
        <v>46</v>
      </c>
      <c r="B23" s="1">
        <v>3</v>
      </c>
      <c r="C23" s="1" t="s">
        <v>16</v>
      </c>
      <c r="D23" s="1" t="s">
        <v>22</v>
      </c>
      <c r="E23" s="1">
        <v>1.6500000000000001E-2</v>
      </c>
      <c r="F23" s="1">
        <v>1.15E-2</v>
      </c>
      <c r="G23" s="1" t="s">
        <v>197</v>
      </c>
      <c r="H23" s="1">
        <v>2.0000000000000002E-5</v>
      </c>
      <c r="I23" s="1">
        <v>0.15</v>
      </c>
      <c r="J23" s="5">
        <v>1.0049999999999999</v>
      </c>
      <c r="K23" s="1" t="b">
        <v>1</v>
      </c>
      <c r="L23" s="1">
        <f t="shared" si="0"/>
        <v>2.4950158568540246E-2</v>
      </c>
      <c r="M23" s="1">
        <v>2.4950158568540246E-2</v>
      </c>
      <c r="N23" s="1">
        <f t="shared" si="1"/>
        <v>2.4950158568540246E-2</v>
      </c>
      <c r="O23" s="1">
        <v>2.4950158568540246E-2</v>
      </c>
      <c r="P23" s="1">
        <f t="shared" si="2"/>
        <v>0.26450000000000001</v>
      </c>
      <c r="Q23" s="1">
        <v>1</v>
      </c>
      <c r="R23" s="1">
        <v>0.23</v>
      </c>
      <c r="S23" s="1">
        <v>0.23</v>
      </c>
      <c r="T23" s="1">
        <v>1.9192429668107882E-2</v>
      </c>
      <c r="U23" s="1">
        <v>1.9192429668107882E-2</v>
      </c>
      <c r="V23" s="1">
        <v>1.9192429668107882E-2</v>
      </c>
      <c r="W23" s="1">
        <v>1.9192429668107882E-2</v>
      </c>
      <c r="X23" s="6">
        <v>9.8250420084426082E-2</v>
      </c>
      <c r="Y23" s="1" t="s">
        <v>195</v>
      </c>
      <c r="Z23" s="1" t="s">
        <v>195</v>
      </c>
      <c r="AA23" s="2">
        <v>63</v>
      </c>
      <c r="AB23" s="3">
        <v>1399</v>
      </c>
    </row>
    <row r="24" spans="1:28" x14ac:dyDescent="0.25">
      <c r="A24" s="1" t="s">
        <v>47</v>
      </c>
      <c r="B24" s="1">
        <v>12</v>
      </c>
      <c r="C24" s="1" t="s">
        <v>16</v>
      </c>
      <c r="D24" s="1" t="s">
        <v>22</v>
      </c>
      <c r="E24" s="1">
        <v>1.6500000000000001E-2</v>
      </c>
      <c r="F24" s="1">
        <v>1.15E-2</v>
      </c>
      <c r="G24" s="1" t="s">
        <v>197</v>
      </c>
      <c r="H24" s="1">
        <v>2.0000000000000002E-5</v>
      </c>
      <c r="I24" s="1">
        <v>0.15</v>
      </c>
      <c r="J24" s="5">
        <v>0.98250000000000004</v>
      </c>
      <c r="K24" s="1" t="b">
        <v>1</v>
      </c>
      <c r="L24" s="1">
        <f t="shared" si="0"/>
        <v>5.1740000000000001E-2</v>
      </c>
      <c r="M24" s="1">
        <v>5.1740000000000001E-2</v>
      </c>
      <c r="N24" s="1">
        <f t="shared" si="1"/>
        <v>2.3798612788453771E-2</v>
      </c>
      <c r="O24" s="1">
        <v>2.3798612788453771E-2</v>
      </c>
      <c r="P24" s="1">
        <f t="shared" si="2"/>
        <v>0.26450000000000001</v>
      </c>
      <c r="Q24" s="1">
        <v>1</v>
      </c>
      <c r="R24" s="1">
        <v>0.23</v>
      </c>
      <c r="S24" s="1">
        <v>0.23</v>
      </c>
      <c r="T24" s="1">
        <v>3.9800000000000002E-2</v>
      </c>
      <c r="U24" s="1">
        <v>3.9800000000000002E-2</v>
      </c>
      <c r="V24" s="1">
        <v>1.8306625221887515E-2</v>
      </c>
      <c r="W24" s="1">
        <v>1.8306625221887515E-2</v>
      </c>
      <c r="X24" s="6">
        <v>6.7018172904143469E-2</v>
      </c>
      <c r="Y24" s="1" t="s">
        <v>193</v>
      </c>
      <c r="Z24" s="1" t="s">
        <v>193</v>
      </c>
      <c r="AA24" s="2">
        <v>132</v>
      </c>
      <c r="AB24" s="3">
        <v>1449</v>
      </c>
    </row>
    <row r="25" spans="1:28" x14ac:dyDescent="0.25">
      <c r="A25" s="1" t="s">
        <v>69</v>
      </c>
      <c r="B25" s="1">
        <v>6</v>
      </c>
      <c r="C25" s="1" t="s">
        <v>16</v>
      </c>
      <c r="D25" s="1" t="s">
        <v>22</v>
      </c>
      <c r="E25" s="1">
        <v>1.6500000000000001E-2</v>
      </c>
      <c r="F25" s="1">
        <v>1.15E-2</v>
      </c>
      <c r="G25" s="1" t="s">
        <v>197</v>
      </c>
      <c r="H25" s="1">
        <v>2.0000000000000002E-5</v>
      </c>
      <c r="I25" s="1">
        <v>0.15</v>
      </c>
      <c r="J25" s="5">
        <v>0.99250000000000005</v>
      </c>
      <c r="K25" s="1" t="b">
        <v>1</v>
      </c>
      <c r="L25" s="1">
        <f t="shared" si="0"/>
        <v>4.5370000000000001E-2</v>
      </c>
      <c r="M25" s="1">
        <v>4.5370000000000001E-2</v>
      </c>
      <c r="N25" s="1">
        <f t="shared" si="1"/>
        <v>2.0494967999999999E-2</v>
      </c>
      <c r="O25" s="1">
        <v>2.0494967999999999E-2</v>
      </c>
      <c r="P25" s="1">
        <f t="shared" si="2"/>
        <v>0.26450000000000001</v>
      </c>
      <c r="Q25" s="1">
        <v>1</v>
      </c>
      <c r="R25" s="1">
        <v>0.23</v>
      </c>
      <c r="S25" s="1">
        <v>0.23</v>
      </c>
      <c r="T25" s="1">
        <v>3.49E-2</v>
      </c>
      <c r="U25" s="1">
        <v>3.49E-2</v>
      </c>
      <c r="V25" s="1">
        <v>1.5765359999999999E-2</v>
      </c>
      <c r="W25" s="1">
        <v>1.5765359999999999E-2</v>
      </c>
      <c r="X25" s="6">
        <v>9.7175656632174423E-2</v>
      </c>
      <c r="Y25" s="1" t="s">
        <v>194</v>
      </c>
      <c r="Z25" s="1" t="s">
        <v>194</v>
      </c>
      <c r="AA25" s="2">
        <v>186</v>
      </c>
      <c r="AB25" s="3">
        <v>1449</v>
      </c>
    </row>
    <row r="26" spans="1:28" x14ac:dyDescent="0.25">
      <c r="A26" s="1" t="s">
        <v>65</v>
      </c>
      <c r="B26" s="1">
        <v>3</v>
      </c>
      <c r="C26" s="1" t="s">
        <v>16</v>
      </c>
      <c r="D26" s="1" t="s">
        <v>22</v>
      </c>
      <c r="E26" s="1">
        <v>1.6500000000000001E-2</v>
      </c>
      <c r="F26" s="1">
        <v>1.15E-2</v>
      </c>
      <c r="G26" s="1" t="s">
        <v>197</v>
      </c>
      <c r="H26" s="1">
        <v>2.0000000000000002E-5</v>
      </c>
      <c r="I26" s="1">
        <v>0.15</v>
      </c>
      <c r="J26" s="5">
        <v>1.0049999999999999</v>
      </c>
      <c r="K26" s="1" t="b">
        <v>1</v>
      </c>
      <c r="L26" s="1">
        <f t="shared" si="0"/>
        <v>5.4339999999999999E-2</v>
      </c>
      <c r="M26" s="1">
        <v>5.4339999999999999E-2</v>
      </c>
      <c r="N26" s="1">
        <f t="shared" si="1"/>
        <v>2.4950158568540246E-2</v>
      </c>
      <c r="O26" s="1">
        <v>2.4950158568540246E-2</v>
      </c>
      <c r="P26" s="1">
        <f t="shared" si="2"/>
        <v>0.26450000000000001</v>
      </c>
      <c r="Q26" s="1">
        <v>1</v>
      </c>
      <c r="R26" s="1">
        <v>0.23</v>
      </c>
      <c r="S26" s="1">
        <v>0.23</v>
      </c>
      <c r="T26" s="1">
        <v>4.1799999999999997E-2</v>
      </c>
      <c r="U26" s="1">
        <v>4.1799999999999997E-2</v>
      </c>
      <c r="V26" s="1">
        <v>1.9192429668107882E-2</v>
      </c>
      <c r="W26" s="1">
        <v>1.9192429668107882E-2</v>
      </c>
      <c r="X26" s="6">
        <v>9.9288061305761843E-2</v>
      </c>
      <c r="Y26" s="1" t="s">
        <v>195</v>
      </c>
      <c r="Z26" s="1" t="s">
        <v>195</v>
      </c>
      <c r="AA26" s="2">
        <v>63</v>
      </c>
      <c r="AB26" s="3">
        <v>1449</v>
      </c>
    </row>
    <row r="27" spans="1:28" x14ac:dyDescent="0.25">
      <c r="A27" s="1" t="s">
        <v>48</v>
      </c>
      <c r="B27" s="1">
        <v>0</v>
      </c>
      <c r="C27" s="1" t="s">
        <v>16</v>
      </c>
      <c r="D27" s="1" t="s">
        <v>22</v>
      </c>
      <c r="E27" s="1">
        <v>1.6500000000000001E-2</v>
      </c>
      <c r="F27" s="1">
        <v>1.15E-2</v>
      </c>
      <c r="G27" s="1" t="s">
        <v>198</v>
      </c>
      <c r="H27" s="1">
        <v>2.0000000000000002E-5</v>
      </c>
      <c r="I27" s="1">
        <v>0.15</v>
      </c>
      <c r="J27" s="5">
        <v>0.93</v>
      </c>
      <c r="K27" s="1" t="b">
        <v>1</v>
      </c>
      <c r="L27" s="1">
        <f t="shared" si="0"/>
        <v>0</v>
      </c>
      <c r="M27" s="1">
        <v>0</v>
      </c>
      <c r="N27" s="1">
        <f t="shared" si="1"/>
        <v>1.8200000000000001E-2</v>
      </c>
      <c r="O27" s="1">
        <v>1.8200000000000001E-2</v>
      </c>
      <c r="P27" s="1">
        <f t="shared" si="2"/>
        <v>0.11499999999999999</v>
      </c>
      <c r="Q27" s="1">
        <v>1</v>
      </c>
      <c r="R27" s="1">
        <v>0.1</v>
      </c>
      <c r="S27" s="1">
        <v>0.1</v>
      </c>
      <c r="T27" s="1">
        <v>0</v>
      </c>
      <c r="U27" s="1">
        <v>0</v>
      </c>
      <c r="V27" s="1">
        <v>1.4E-2</v>
      </c>
      <c r="W27" s="1">
        <v>1.4E-2</v>
      </c>
      <c r="X27" s="6">
        <v>4.5769610264875915E-2</v>
      </c>
      <c r="Y27" s="1">
        <v>0</v>
      </c>
      <c r="Z27" s="1">
        <v>0</v>
      </c>
      <c r="AA27" s="2">
        <v>60</v>
      </c>
      <c r="AB27" s="3">
        <v>399</v>
      </c>
    </row>
    <row r="28" spans="1:28" x14ac:dyDescent="0.25">
      <c r="A28" s="1" t="s">
        <v>49</v>
      </c>
      <c r="B28" s="1">
        <v>0</v>
      </c>
      <c r="C28" s="1" t="s">
        <v>16</v>
      </c>
      <c r="D28" s="1" t="s">
        <v>22</v>
      </c>
      <c r="E28" s="1">
        <v>1.6500000000000001E-2</v>
      </c>
      <c r="F28" s="1">
        <v>1.15E-2</v>
      </c>
      <c r="G28" s="1" t="s">
        <v>198</v>
      </c>
      <c r="H28" s="1">
        <v>2.0000000000000002E-5</v>
      </c>
      <c r="I28" s="1">
        <v>0.15</v>
      </c>
      <c r="J28" s="5">
        <v>0.92</v>
      </c>
      <c r="K28" s="1" t="b">
        <v>1</v>
      </c>
      <c r="L28" s="1">
        <f t="shared" si="0"/>
        <v>0</v>
      </c>
      <c r="M28" s="1">
        <v>0</v>
      </c>
      <c r="N28" s="1">
        <f t="shared" si="1"/>
        <v>1.8200000000000001E-2</v>
      </c>
      <c r="O28" s="1">
        <v>1.8200000000000001E-2</v>
      </c>
      <c r="P28" s="1">
        <f t="shared" si="2"/>
        <v>0.11499999999999999</v>
      </c>
      <c r="Q28" s="1">
        <v>1</v>
      </c>
      <c r="R28" s="1">
        <v>0.1</v>
      </c>
      <c r="S28" s="1">
        <v>0.1</v>
      </c>
      <c r="T28" s="1">
        <v>0</v>
      </c>
      <c r="U28" s="1">
        <v>0</v>
      </c>
      <c r="V28" s="1">
        <v>1.4E-2</v>
      </c>
      <c r="W28" s="1">
        <v>1.4E-2</v>
      </c>
      <c r="X28" s="6">
        <v>4.1813838200323694E-2</v>
      </c>
      <c r="Y28" s="1">
        <v>0</v>
      </c>
      <c r="Z28" s="1">
        <v>0</v>
      </c>
      <c r="AA28" s="2">
        <v>84</v>
      </c>
      <c r="AB28" s="3">
        <v>399</v>
      </c>
    </row>
    <row r="29" spans="1:28" x14ac:dyDescent="0.25">
      <c r="A29" s="1" t="s">
        <v>50</v>
      </c>
      <c r="B29" s="1">
        <v>12</v>
      </c>
      <c r="C29" s="1" t="s">
        <v>16</v>
      </c>
      <c r="D29" s="1" t="s">
        <v>22</v>
      </c>
      <c r="E29" s="1">
        <v>1.6500000000000001E-2</v>
      </c>
      <c r="F29" s="1">
        <v>1.15E-2</v>
      </c>
      <c r="G29" s="1" t="s">
        <v>197</v>
      </c>
      <c r="H29" s="1">
        <v>2.0000000000000002E-5</v>
      </c>
      <c r="I29" s="1">
        <v>0.15</v>
      </c>
      <c r="J29" s="5">
        <v>0.98250000000000004</v>
      </c>
      <c r="K29" s="1" t="b">
        <v>1</v>
      </c>
      <c r="L29" s="1">
        <f t="shared" si="0"/>
        <v>7.5399999999999998E-3</v>
      </c>
      <c r="M29" s="1">
        <v>7.5399999999999998E-3</v>
      </c>
      <c r="N29" s="1">
        <f t="shared" si="1"/>
        <v>6.0032176779504327E-3</v>
      </c>
      <c r="O29" s="1">
        <v>6.0032176779504327E-3</v>
      </c>
      <c r="P29" s="1">
        <f t="shared" si="2"/>
        <v>0.26450000000000001</v>
      </c>
      <c r="Q29" s="1">
        <v>1</v>
      </c>
      <c r="R29" s="1">
        <v>0.23</v>
      </c>
      <c r="S29" s="1">
        <v>0.23</v>
      </c>
      <c r="T29" s="1">
        <v>5.7999999999999996E-3</v>
      </c>
      <c r="U29" s="1">
        <v>5.7999999999999996E-3</v>
      </c>
      <c r="V29" s="1">
        <v>4.6178597522695637E-3</v>
      </c>
      <c r="W29" s="1">
        <v>4.6178597522695637E-3</v>
      </c>
      <c r="X29" s="6">
        <v>4.2425321599135479E-2</v>
      </c>
      <c r="Y29" s="1" t="s">
        <v>193</v>
      </c>
      <c r="Z29" s="1" t="s">
        <v>193</v>
      </c>
      <c r="AA29" s="2">
        <v>132</v>
      </c>
      <c r="AB29" s="3">
        <v>649</v>
      </c>
    </row>
    <row r="30" spans="1:28" x14ac:dyDescent="0.25">
      <c r="A30" s="1" t="s">
        <v>51</v>
      </c>
      <c r="B30" s="1">
        <v>6</v>
      </c>
      <c r="C30" s="1" t="s">
        <v>16</v>
      </c>
      <c r="D30" s="1" t="s">
        <v>22</v>
      </c>
      <c r="E30" s="1">
        <v>1.6500000000000001E-2</v>
      </c>
      <c r="F30" s="1">
        <v>1.15E-2</v>
      </c>
      <c r="G30" s="1" t="s">
        <v>197</v>
      </c>
      <c r="H30" s="1">
        <v>2.0000000000000002E-5</v>
      </c>
      <c r="I30" s="1">
        <v>0.15</v>
      </c>
      <c r="J30" s="5">
        <v>0.99250000000000005</v>
      </c>
      <c r="K30" s="1" t="b">
        <v>1</v>
      </c>
      <c r="L30" s="1">
        <f t="shared" si="0"/>
        <v>5.678400000000001E-3</v>
      </c>
      <c r="M30" s="1">
        <v>5.678400000000001E-3</v>
      </c>
      <c r="N30" s="1">
        <f t="shared" si="1"/>
        <v>5.678400000000001E-3</v>
      </c>
      <c r="O30" s="1">
        <v>5.678400000000001E-3</v>
      </c>
      <c r="P30" s="1">
        <f t="shared" si="2"/>
        <v>0.26450000000000001</v>
      </c>
      <c r="Q30" s="1">
        <v>1</v>
      </c>
      <c r="R30" s="1">
        <v>0.23</v>
      </c>
      <c r="S30" s="1">
        <v>0.23</v>
      </c>
      <c r="T30" s="1">
        <v>4.3680000000000004E-3</v>
      </c>
      <c r="U30" s="1">
        <v>4.3680000000000004E-3</v>
      </c>
      <c r="V30" s="1">
        <v>4.3680000000000004E-3</v>
      </c>
      <c r="W30" s="1">
        <v>4.3680000000000004E-3</v>
      </c>
      <c r="X30" s="6">
        <v>5.0952089068871942E-2</v>
      </c>
      <c r="Y30" s="1" t="s">
        <v>194</v>
      </c>
      <c r="Z30" s="1" t="s">
        <v>194</v>
      </c>
      <c r="AA30" s="2">
        <v>186</v>
      </c>
      <c r="AB30" s="3">
        <v>649</v>
      </c>
    </row>
    <row r="31" spans="1:28" x14ac:dyDescent="0.25">
      <c r="A31" s="1" t="s">
        <v>52</v>
      </c>
      <c r="B31" s="1">
        <v>6</v>
      </c>
      <c r="C31" s="1" t="s">
        <v>16</v>
      </c>
      <c r="D31" s="1" t="s">
        <v>22</v>
      </c>
      <c r="E31" s="1">
        <v>1.6500000000000001E-2</v>
      </c>
      <c r="F31" s="1">
        <v>1.15E-2</v>
      </c>
      <c r="G31" s="1" t="s">
        <v>197</v>
      </c>
      <c r="H31" s="1">
        <v>2.0000000000000002E-5</v>
      </c>
      <c r="I31" s="1">
        <v>0.15</v>
      </c>
      <c r="J31" s="5">
        <v>0.99250000000000005</v>
      </c>
      <c r="K31" s="1" t="b">
        <v>1</v>
      </c>
      <c r="L31" s="1">
        <f t="shared" si="0"/>
        <v>5.678400000000001E-3</v>
      </c>
      <c r="M31" s="1">
        <v>5.678400000000001E-3</v>
      </c>
      <c r="N31" s="1">
        <f t="shared" si="1"/>
        <v>5.678400000000001E-3</v>
      </c>
      <c r="O31" s="1">
        <v>5.678400000000001E-3</v>
      </c>
      <c r="P31" s="1">
        <f t="shared" si="2"/>
        <v>0.26450000000000001</v>
      </c>
      <c r="Q31" s="1">
        <v>1</v>
      </c>
      <c r="R31" s="1">
        <v>0.23</v>
      </c>
      <c r="S31" s="1">
        <v>0.23</v>
      </c>
      <c r="T31" s="1">
        <v>4.3680000000000004E-3</v>
      </c>
      <c r="U31" s="1">
        <v>4.3680000000000004E-3</v>
      </c>
      <c r="V31" s="1">
        <v>4.3680000000000004E-3</v>
      </c>
      <c r="W31" s="1">
        <v>4.3680000000000004E-3</v>
      </c>
      <c r="X31" s="6">
        <v>5.4827875335359266E-2</v>
      </c>
      <c r="Y31" s="1" t="s">
        <v>194</v>
      </c>
      <c r="Z31" s="1" t="s">
        <v>194</v>
      </c>
      <c r="AA31" s="2">
        <v>186</v>
      </c>
      <c r="AB31" s="3">
        <v>699</v>
      </c>
    </row>
    <row r="32" spans="1:28" x14ac:dyDescent="0.25">
      <c r="A32" s="1" t="s">
        <v>67</v>
      </c>
      <c r="B32" s="1">
        <v>6</v>
      </c>
      <c r="C32" s="1" t="s">
        <v>16</v>
      </c>
      <c r="D32" s="1" t="s">
        <v>22</v>
      </c>
      <c r="E32" s="1">
        <v>1.6500000000000001E-2</v>
      </c>
      <c r="F32" s="1">
        <v>1.15E-2</v>
      </c>
      <c r="G32" s="1" t="s">
        <v>197</v>
      </c>
      <c r="H32" s="1">
        <v>2.0000000000000002E-5</v>
      </c>
      <c r="I32" s="1">
        <v>0.15</v>
      </c>
      <c r="J32" s="5">
        <v>0.99250000000000005</v>
      </c>
      <c r="K32" s="1" t="b">
        <v>1</v>
      </c>
      <c r="L32" s="1">
        <f t="shared" si="0"/>
        <v>6.8900000000000003E-3</v>
      </c>
      <c r="M32" s="1">
        <v>6.8900000000000003E-3</v>
      </c>
      <c r="N32" s="1">
        <f t="shared" si="1"/>
        <v>5.678400000000001E-3</v>
      </c>
      <c r="O32" s="1">
        <v>5.678400000000001E-3</v>
      </c>
      <c r="P32" s="1">
        <f t="shared" si="2"/>
        <v>0.26450000000000001</v>
      </c>
      <c r="Q32" s="1">
        <v>1</v>
      </c>
      <c r="R32" s="1">
        <v>0.23</v>
      </c>
      <c r="S32" s="1">
        <v>0.23</v>
      </c>
      <c r="T32" s="1">
        <v>5.3E-3</v>
      </c>
      <c r="U32" s="1">
        <v>5.3E-3</v>
      </c>
      <c r="V32" s="1">
        <v>4.3680000000000004E-3</v>
      </c>
      <c r="W32" s="1">
        <v>4.3680000000000004E-3</v>
      </c>
      <c r="X32" s="6">
        <v>5.8518073937455561E-2</v>
      </c>
      <c r="Y32" s="1" t="s">
        <v>194</v>
      </c>
      <c r="Z32" s="1" t="s">
        <v>194</v>
      </c>
      <c r="AA32" s="2">
        <v>186</v>
      </c>
      <c r="AB32" s="3">
        <v>749</v>
      </c>
    </row>
    <row r="33" spans="1:28" x14ac:dyDescent="0.25">
      <c r="A33" s="1" t="s">
        <v>53</v>
      </c>
      <c r="B33" s="1">
        <v>0</v>
      </c>
      <c r="C33" s="1" t="s">
        <v>16</v>
      </c>
      <c r="D33" s="1" t="s">
        <v>22</v>
      </c>
      <c r="E33" s="1">
        <v>1.6500000000000001E-2</v>
      </c>
      <c r="F33" s="1">
        <v>1.15E-2</v>
      </c>
      <c r="G33" s="1" t="s">
        <v>198</v>
      </c>
      <c r="H33" s="1">
        <v>2.0000000000000002E-5</v>
      </c>
      <c r="I33" s="1">
        <v>0.15</v>
      </c>
      <c r="J33" s="5">
        <v>0.98250000000000004</v>
      </c>
      <c r="K33" s="1" t="b">
        <v>1</v>
      </c>
      <c r="L33" s="1">
        <f t="shared" si="0"/>
        <v>0</v>
      </c>
      <c r="M33" s="1">
        <v>0</v>
      </c>
      <c r="N33" s="1">
        <f t="shared" si="1"/>
        <v>3.6400000000000002E-2</v>
      </c>
      <c r="O33" s="1">
        <v>3.6400000000000002E-2</v>
      </c>
      <c r="P33" s="1">
        <f t="shared" si="2"/>
        <v>0.13799999999999998</v>
      </c>
      <c r="Q33" s="1">
        <v>1</v>
      </c>
      <c r="R33" s="1">
        <v>0.12</v>
      </c>
      <c r="S33" s="1">
        <v>0.12</v>
      </c>
      <c r="T33" s="1">
        <v>0</v>
      </c>
      <c r="U33" s="1">
        <v>0</v>
      </c>
      <c r="V33" s="1">
        <v>2.8000000000000001E-2</v>
      </c>
      <c r="W33" s="1">
        <v>2.8000000000000001E-2</v>
      </c>
      <c r="X33" s="6">
        <v>6.5878879418300507E-2</v>
      </c>
      <c r="Y33" s="1">
        <v>0</v>
      </c>
      <c r="Z33" s="1">
        <v>0</v>
      </c>
      <c r="AA33" s="2">
        <v>120</v>
      </c>
      <c r="AB33" s="3">
        <v>849</v>
      </c>
    </row>
    <row r="34" spans="1:28" x14ac:dyDescent="0.25">
      <c r="A34" s="1" t="s">
        <v>54</v>
      </c>
      <c r="B34" s="1">
        <v>12</v>
      </c>
      <c r="C34" s="1" t="s">
        <v>16</v>
      </c>
      <c r="D34" s="1" t="s">
        <v>22</v>
      </c>
      <c r="E34" s="1">
        <v>1.6500000000000001E-2</v>
      </c>
      <c r="F34" s="1">
        <v>1.15E-2</v>
      </c>
      <c r="G34" s="1" t="s">
        <v>197</v>
      </c>
      <c r="H34" s="1">
        <v>2.0000000000000002E-5</v>
      </c>
      <c r="I34" s="1">
        <v>0.15</v>
      </c>
      <c r="J34" s="5">
        <v>0.98250000000000004</v>
      </c>
      <c r="K34" s="1" t="b">
        <v>1</v>
      </c>
      <c r="L34" s="1">
        <f t="shared" ref="L34:L65" si="3">T34*1.3</f>
        <v>6.0032176779504327E-3</v>
      </c>
      <c r="M34" s="1">
        <v>6.0032176779504327E-3</v>
      </c>
      <c r="N34" s="1">
        <f t="shared" ref="N34:N65" si="4">V34*1.3</f>
        <v>6.0032176779504327E-3</v>
      </c>
      <c r="O34" s="1">
        <v>6.0032176779504327E-3</v>
      </c>
      <c r="P34" s="1">
        <f t="shared" ref="P34:P65" si="5">R34*1.15</f>
        <v>0.26450000000000001</v>
      </c>
      <c r="Q34" s="1">
        <v>1</v>
      </c>
      <c r="R34" s="1">
        <v>0.23</v>
      </c>
      <c r="S34" s="1">
        <v>0.23</v>
      </c>
      <c r="T34" s="1">
        <v>4.6178597522695637E-3</v>
      </c>
      <c r="U34" s="1">
        <v>4.6178597522695637E-3</v>
      </c>
      <c r="V34" s="1">
        <v>4.6178597522695637E-3</v>
      </c>
      <c r="W34" s="1">
        <v>4.6178597522695637E-3</v>
      </c>
      <c r="X34" s="6">
        <v>5.4357781213026257E-2</v>
      </c>
      <c r="Y34" s="1" t="s">
        <v>193</v>
      </c>
      <c r="Z34" s="1" t="s">
        <v>193</v>
      </c>
      <c r="AA34" s="2">
        <v>132</v>
      </c>
      <c r="AB34" s="3">
        <v>849</v>
      </c>
    </row>
    <row r="35" spans="1:28" x14ac:dyDescent="0.25">
      <c r="A35" s="1" t="s">
        <v>55</v>
      </c>
      <c r="B35" s="1">
        <v>0</v>
      </c>
      <c r="C35" s="1" t="s">
        <v>16</v>
      </c>
      <c r="D35" s="1" t="s">
        <v>22</v>
      </c>
      <c r="E35" s="1">
        <v>1.6500000000000001E-2</v>
      </c>
      <c r="F35" s="1">
        <v>1.15E-2</v>
      </c>
      <c r="G35" s="1" t="s">
        <v>198</v>
      </c>
      <c r="H35" s="1">
        <v>2.0000000000000002E-5</v>
      </c>
      <c r="I35" s="1">
        <v>0.15</v>
      </c>
      <c r="J35" s="5">
        <v>0.98250000000000004</v>
      </c>
      <c r="K35" s="1" t="b">
        <v>1</v>
      </c>
      <c r="L35" s="1">
        <f t="shared" si="3"/>
        <v>0</v>
      </c>
      <c r="M35" s="1">
        <v>0</v>
      </c>
      <c r="N35" s="1">
        <f t="shared" si="4"/>
        <v>3.6400000000000002E-2</v>
      </c>
      <c r="O35" s="1">
        <v>3.6400000000000002E-2</v>
      </c>
      <c r="P35" s="1">
        <f t="shared" si="5"/>
        <v>0.13799999999999998</v>
      </c>
      <c r="Q35" s="1">
        <v>1</v>
      </c>
      <c r="R35" s="1">
        <v>0.12</v>
      </c>
      <c r="S35" s="1">
        <v>0.12</v>
      </c>
      <c r="T35" s="1">
        <v>0</v>
      </c>
      <c r="U35" s="1">
        <v>0</v>
      </c>
      <c r="V35" s="1">
        <v>2.8000000000000001E-2</v>
      </c>
      <c r="W35" s="1">
        <v>2.8000000000000001E-2</v>
      </c>
      <c r="X35" s="6">
        <v>6.4873161582571726E-2</v>
      </c>
      <c r="Y35" s="1">
        <v>0</v>
      </c>
      <c r="Z35" s="1">
        <v>0</v>
      </c>
      <c r="AA35" s="2">
        <v>180</v>
      </c>
      <c r="AB35" s="3">
        <v>849</v>
      </c>
    </row>
    <row r="36" spans="1:28" x14ac:dyDescent="0.25">
      <c r="A36" s="1" t="s">
        <v>56</v>
      </c>
      <c r="B36" s="1">
        <v>3</v>
      </c>
      <c r="C36" s="1" t="s">
        <v>16</v>
      </c>
      <c r="D36" s="1" t="s">
        <v>22</v>
      </c>
      <c r="E36" s="1">
        <v>1.6500000000000001E-2</v>
      </c>
      <c r="F36" s="1">
        <v>1.15E-2</v>
      </c>
      <c r="G36" s="1" t="s">
        <v>197</v>
      </c>
      <c r="H36" s="1">
        <v>2.0000000000000002E-5</v>
      </c>
      <c r="I36" s="1">
        <v>0.15</v>
      </c>
      <c r="J36" s="5">
        <v>1.0049999999999999</v>
      </c>
      <c r="K36" s="1" t="b">
        <v>1</v>
      </c>
      <c r="L36" s="1">
        <f t="shared" si="3"/>
        <v>5.3361934915114951E-3</v>
      </c>
      <c r="M36" s="1">
        <v>5.3361934915114951E-3</v>
      </c>
      <c r="N36" s="1">
        <f t="shared" si="4"/>
        <v>5.3361934915114951E-3</v>
      </c>
      <c r="O36" s="1">
        <v>5.3361934915114951E-3</v>
      </c>
      <c r="P36" s="1">
        <f t="shared" si="5"/>
        <v>0.26450000000000001</v>
      </c>
      <c r="Q36" s="1">
        <v>1</v>
      </c>
      <c r="R36" s="1">
        <v>0.23</v>
      </c>
      <c r="S36" s="1">
        <v>0.23</v>
      </c>
      <c r="T36" s="1">
        <v>4.1047642242396116E-3</v>
      </c>
      <c r="U36" s="1">
        <v>4.1047642242396116E-3</v>
      </c>
      <c r="V36" s="1">
        <v>4.1047642242396116E-3</v>
      </c>
      <c r="W36" s="1">
        <v>4.1047642242396116E-3</v>
      </c>
      <c r="X36" s="6">
        <v>6.5758300007492387E-2</v>
      </c>
      <c r="Y36" s="1" t="s">
        <v>195</v>
      </c>
      <c r="Z36" s="1" t="s">
        <v>195</v>
      </c>
      <c r="AA36" s="2">
        <v>63</v>
      </c>
      <c r="AB36" s="3">
        <v>849</v>
      </c>
    </row>
    <row r="37" spans="1:28" x14ac:dyDescent="0.25">
      <c r="A37" s="1" t="s">
        <v>57</v>
      </c>
      <c r="B37" s="1">
        <v>0</v>
      </c>
      <c r="C37" s="1" t="s">
        <v>16</v>
      </c>
      <c r="D37" s="1" t="s">
        <v>22</v>
      </c>
      <c r="E37" s="1">
        <v>1.6500000000000001E-2</v>
      </c>
      <c r="F37" s="1">
        <v>1.15E-2</v>
      </c>
      <c r="G37" s="1" t="s">
        <v>198</v>
      </c>
      <c r="H37" s="1">
        <v>2.0000000000000002E-5</v>
      </c>
      <c r="I37" s="1">
        <v>0.15</v>
      </c>
      <c r="J37" s="5">
        <v>0.98250000000000004</v>
      </c>
      <c r="K37" s="1" t="b">
        <v>1</v>
      </c>
      <c r="L37" s="1">
        <f t="shared" si="3"/>
        <v>0</v>
      </c>
      <c r="M37" s="1">
        <v>0</v>
      </c>
      <c r="N37" s="1">
        <f t="shared" si="4"/>
        <v>4.1600000000000005E-2</v>
      </c>
      <c r="O37" s="1">
        <v>4.1600000000000005E-2</v>
      </c>
      <c r="P37" s="1">
        <f t="shared" si="5"/>
        <v>0.13799999999999998</v>
      </c>
      <c r="Q37" s="1">
        <v>1</v>
      </c>
      <c r="R37" s="1">
        <v>0.12</v>
      </c>
      <c r="S37" s="1">
        <v>0.12</v>
      </c>
      <c r="T37" s="1">
        <v>0</v>
      </c>
      <c r="U37" s="1">
        <v>0</v>
      </c>
      <c r="V37" s="1">
        <v>3.2000000000000001E-2</v>
      </c>
      <c r="W37" s="1">
        <v>3.2000000000000001E-2</v>
      </c>
      <c r="X37" s="6">
        <v>5.0711555458799573E-2</v>
      </c>
      <c r="Y37" s="1">
        <v>0</v>
      </c>
      <c r="Z37" s="1">
        <v>0</v>
      </c>
      <c r="AA37" s="2">
        <v>120</v>
      </c>
      <c r="AB37" s="3">
        <v>898.99999999999989</v>
      </c>
    </row>
    <row r="38" spans="1:28" x14ac:dyDescent="0.25">
      <c r="A38" s="1" t="s">
        <v>58</v>
      </c>
      <c r="B38" s="1">
        <v>12</v>
      </c>
      <c r="C38" s="1" t="s">
        <v>16</v>
      </c>
      <c r="D38" s="1" t="s">
        <v>22</v>
      </c>
      <c r="E38" s="1">
        <v>1.6500000000000001E-2</v>
      </c>
      <c r="F38" s="1">
        <v>1.15E-2</v>
      </c>
      <c r="G38" s="1" t="s">
        <v>197</v>
      </c>
      <c r="H38" s="1">
        <v>2.0000000000000002E-5</v>
      </c>
      <c r="I38" s="1">
        <v>0.15</v>
      </c>
      <c r="J38" s="5">
        <v>0.98250000000000004</v>
      </c>
      <c r="K38" s="1" t="b">
        <v>1</v>
      </c>
      <c r="L38" s="1">
        <f t="shared" si="3"/>
        <v>6.0032176779504327E-3</v>
      </c>
      <c r="M38" s="1">
        <v>6.0032176779504327E-3</v>
      </c>
      <c r="N38" s="1">
        <f t="shared" si="4"/>
        <v>6.0032176779504327E-3</v>
      </c>
      <c r="O38" s="1">
        <v>6.0032176779504327E-3</v>
      </c>
      <c r="P38" s="1">
        <f t="shared" si="5"/>
        <v>0.26450000000000001</v>
      </c>
      <c r="Q38" s="1">
        <v>1</v>
      </c>
      <c r="R38" s="1">
        <v>0.23</v>
      </c>
      <c r="S38" s="1">
        <v>0.23</v>
      </c>
      <c r="T38" s="1">
        <v>4.6178597522695637E-3</v>
      </c>
      <c r="U38" s="1">
        <v>4.6178597522695637E-3</v>
      </c>
      <c r="V38" s="1">
        <v>4.6178597522695637E-3</v>
      </c>
      <c r="W38" s="1">
        <v>4.6178597522695637E-3</v>
      </c>
      <c r="X38" s="6">
        <v>5.7211782893196172E-2</v>
      </c>
      <c r="Y38" s="1" t="s">
        <v>193</v>
      </c>
      <c r="Z38" s="1" t="s">
        <v>193</v>
      </c>
      <c r="AA38" s="2">
        <v>132</v>
      </c>
      <c r="AB38" s="3">
        <v>898.99999999999989</v>
      </c>
    </row>
    <row r="39" spans="1:28" x14ac:dyDescent="0.25">
      <c r="A39" s="1" t="s">
        <v>59</v>
      </c>
      <c r="B39" s="1">
        <v>0</v>
      </c>
      <c r="C39" s="1" t="s">
        <v>16</v>
      </c>
      <c r="D39" s="1" t="s">
        <v>22</v>
      </c>
      <c r="E39" s="1">
        <v>1.6500000000000001E-2</v>
      </c>
      <c r="F39" s="1">
        <v>1.15E-2</v>
      </c>
      <c r="G39" s="1" t="s">
        <v>198</v>
      </c>
      <c r="H39" s="1">
        <v>2.0000000000000002E-5</v>
      </c>
      <c r="I39" s="1">
        <v>0.15</v>
      </c>
      <c r="J39" s="5">
        <v>0.98250000000000004</v>
      </c>
      <c r="K39" s="1" t="b">
        <v>1</v>
      </c>
      <c r="L39" s="1">
        <f t="shared" si="3"/>
        <v>0</v>
      </c>
      <c r="M39" s="1">
        <v>0</v>
      </c>
      <c r="N39" s="1">
        <f t="shared" si="4"/>
        <v>4.1600000000000005E-2</v>
      </c>
      <c r="O39" s="1">
        <v>4.1600000000000005E-2</v>
      </c>
      <c r="P39" s="1">
        <f t="shared" si="5"/>
        <v>0.13799999999999998</v>
      </c>
      <c r="Q39" s="1">
        <v>1</v>
      </c>
      <c r="R39" s="1">
        <v>0.12</v>
      </c>
      <c r="S39" s="1">
        <v>0.12</v>
      </c>
      <c r="T39" s="1">
        <v>0</v>
      </c>
      <c r="U39" s="1">
        <v>0</v>
      </c>
      <c r="V39" s="1">
        <v>3.2000000000000001E-2</v>
      </c>
      <c r="W39" s="1">
        <v>3.2000000000000001E-2</v>
      </c>
      <c r="X39" s="6">
        <v>4.9700225943762888E-2</v>
      </c>
      <c r="Y39" s="1">
        <v>0</v>
      </c>
      <c r="Z39" s="1">
        <v>0</v>
      </c>
      <c r="AA39" s="2">
        <v>180</v>
      </c>
      <c r="AB39" s="3">
        <v>898.99999999999989</v>
      </c>
    </row>
    <row r="40" spans="1:28" x14ac:dyDescent="0.25">
      <c r="A40" s="1" t="s">
        <v>60</v>
      </c>
      <c r="B40" s="1">
        <v>3</v>
      </c>
      <c r="C40" s="1" t="s">
        <v>16</v>
      </c>
      <c r="D40" s="1" t="s">
        <v>22</v>
      </c>
      <c r="E40" s="1">
        <v>1.6500000000000001E-2</v>
      </c>
      <c r="F40" s="1">
        <v>1.15E-2</v>
      </c>
      <c r="G40" s="1" t="s">
        <v>197</v>
      </c>
      <c r="H40" s="1">
        <v>2.0000000000000002E-5</v>
      </c>
      <c r="I40" s="1">
        <v>0.15</v>
      </c>
      <c r="J40" s="5">
        <v>1.0049999999999999</v>
      </c>
      <c r="K40" s="1" t="b">
        <v>1</v>
      </c>
      <c r="L40" s="1">
        <f t="shared" si="3"/>
        <v>5.3361934915114951E-3</v>
      </c>
      <c r="M40" s="1">
        <v>5.3361934915114951E-3</v>
      </c>
      <c r="N40" s="1">
        <f t="shared" si="4"/>
        <v>5.3361934915114951E-3</v>
      </c>
      <c r="O40" s="1">
        <v>5.3361934915114951E-3</v>
      </c>
      <c r="P40" s="1">
        <f t="shared" si="5"/>
        <v>0.26450000000000001</v>
      </c>
      <c r="Q40" s="1">
        <v>1</v>
      </c>
      <c r="R40" s="1">
        <v>0.23</v>
      </c>
      <c r="S40" s="1">
        <v>0.23</v>
      </c>
      <c r="T40" s="1">
        <v>4.1047642242396116E-3</v>
      </c>
      <c r="U40" s="1">
        <v>4.1047642242396116E-3</v>
      </c>
      <c r="V40" s="1">
        <v>4.1047642242396116E-3</v>
      </c>
      <c r="W40" s="1">
        <v>4.1047642242396116E-3</v>
      </c>
      <c r="X40" s="6">
        <v>6.9972552193572568E-2</v>
      </c>
      <c r="Y40" s="1" t="s">
        <v>195</v>
      </c>
      <c r="Z40" s="1" t="s">
        <v>195</v>
      </c>
      <c r="AA40" s="2">
        <v>63</v>
      </c>
      <c r="AB40" s="3">
        <v>898.99999999999989</v>
      </c>
    </row>
    <row r="41" spans="1:28" x14ac:dyDescent="0.25">
      <c r="A41" s="1" t="s">
        <v>61</v>
      </c>
      <c r="B41" s="1">
        <v>0</v>
      </c>
      <c r="C41" s="1" t="s">
        <v>16</v>
      </c>
      <c r="D41" s="1" t="s">
        <v>22</v>
      </c>
      <c r="E41" s="1">
        <v>1.6500000000000001E-2</v>
      </c>
      <c r="F41" s="1">
        <v>1.15E-2</v>
      </c>
      <c r="G41" s="1" t="s">
        <v>198</v>
      </c>
      <c r="H41" s="1">
        <v>2.0000000000000002E-5</v>
      </c>
      <c r="I41" s="1">
        <v>0.15</v>
      </c>
      <c r="J41" s="5">
        <v>0.98250000000000004</v>
      </c>
      <c r="K41" s="1" t="b">
        <v>1</v>
      </c>
      <c r="L41" s="1">
        <f t="shared" si="3"/>
        <v>0</v>
      </c>
      <c r="M41" s="1">
        <v>0</v>
      </c>
      <c r="N41" s="1">
        <f t="shared" si="4"/>
        <v>3.6400000000000002E-2</v>
      </c>
      <c r="O41" s="1">
        <v>3.6400000000000002E-2</v>
      </c>
      <c r="P41" s="1">
        <f t="shared" si="5"/>
        <v>0.13799999999999998</v>
      </c>
      <c r="Q41" s="1">
        <v>1</v>
      </c>
      <c r="R41" s="1">
        <v>0.12</v>
      </c>
      <c r="S41" s="1">
        <v>0.12</v>
      </c>
      <c r="T41" s="1">
        <v>0</v>
      </c>
      <c r="U41" s="1">
        <v>0</v>
      </c>
      <c r="V41" s="1">
        <v>2.8000000000000001E-2</v>
      </c>
      <c r="W41" s="1">
        <v>2.8000000000000001E-2</v>
      </c>
      <c r="X41" s="6">
        <v>7.5865398972241316E-2</v>
      </c>
      <c r="Y41" s="1">
        <v>0</v>
      </c>
      <c r="Z41" s="1">
        <v>0</v>
      </c>
      <c r="AA41" s="2">
        <v>120</v>
      </c>
      <c r="AB41" s="3">
        <v>949</v>
      </c>
    </row>
    <row r="42" spans="1:28" x14ac:dyDescent="0.25">
      <c r="A42" s="1" t="s">
        <v>62</v>
      </c>
      <c r="B42" s="1">
        <v>12</v>
      </c>
      <c r="C42" s="1" t="s">
        <v>16</v>
      </c>
      <c r="D42" s="1" t="s">
        <v>22</v>
      </c>
      <c r="E42" s="1">
        <v>1.6500000000000001E-2</v>
      </c>
      <c r="F42" s="1">
        <v>1.15E-2</v>
      </c>
      <c r="G42" s="1" t="s">
        <v>197</v>
      </c>
      <c r="H42" s="1">
        <v>2.0000000000000002E-5</v>
      </c>
      <c r="I42" s="1">
        <v>0.15</v>
      </c>
      <c r="J42" s="5">
        <v>0.98250000000000004</v>
      </c>
      <c r="K42" s="1" t="b">
        <v>1</v>
      </c>
      <c r="L42" s="1">
        <f t="shared" si="3"/>
        <v>7.5399999999999998E-3</v>
      </c>
      <c r="M42" s="1">
        <v>7.5399999999999998E-3</v>
      </c>
      <c r="N42" s="1">
        <f t="shared" si="4"/>
        <v>6.0032176779504327E-3</v>
      </c>
      <c r="O42" s="1">
        <v>6.0032176779504327E-3</v>
      </c>
      <c r="P42" s="1">
        <f t="shared" si="5"/>
        <v>0.26450000000000001</v>
      </c>
      <c r="Q42" s="1">
        <v>1</v>
      </c>
      <c r="R42" s="1">
        <v>0.23</v>
      </c>
      <c r="S42" s="1">
        <v>0.23</v>
      </c>
      <c r="T42" s="1">
        <v>5.7999999999999996E-3</v>
      </c>
      <c r="U42" s="1">
        <v>5.7999999999999996E-3</v>
      </c>
      <c r="V42" s="1">
        <v>4.6178597522695637E-3</v>
      </c>
      <c r="W42" s="1">
        <v>4.6178597522695637E-3</v>
      </c>
      <c r="X42" s="6">
        <v>5.9621221249622991E-2</v>
      </c>
      <c r="Y42" s="1" t="s">
        <v>193</v>
      </c>
      <c r="Z42" s="1" t="s">
        <v>193</v>
      </c>
      <c r="AA42" s="2">
        <v>132</v>
      </c>
      <c r="AB42" s="3">
        <v>949</v>
      </c>
    </row>
    <row r="43" spans="1:28" x14ac:dyDescent="0.25">
      <c r="A43" s="1" t="s">
        <v>64</v>
      </c>
      <c r="B43" s="1">
        <v>3</v>
      </c>
      <c r="C43" s="1" t="s">
        <v>16</v>
      </c>
      <c r="D43" s="1" t="s">
        <v>22</v>
      </c>
      <c r="E43" s="1">
        <v>1.6500000000000001E-2</v>
      </c>
      <c r="F43" s="1">
        <v>1.15E-2</v>
      </c>
      <c r="G43" s="1" t="s">
        <v>197</v>
      </c>
      <c r="H43" s="1">
        <v>2.0000000000000002E-5</v>
      </c>
      <c r="I43" s="1">
        <v>0.15</v>
      </c>
      <c r="J43" s="5">
        <v>1.0049999999999999</v>
      </c>
      <c r="K43" s="1" t="b">
        <v>1</v>
      </c>
      <c r="L43" s="1">
        <f t="shared" si="3"/>
        <v>6.7599999999999995E-3</v>
      </c>
      <c r="M43" s="1">
        <v>6.7599999999999995E-3</v>
      </c>
      <c r="N43" s="1">
        <f t="shared" si="4"/>
        <v>5.3361934915114951E-3</v>
      </c>
      <c r="O43" s="1">
        <v>5.3361934915114951E-3</v>
      </c>
      <c r="P43" s="1">
        <f t="shared" si="5"/>
        <v>0.26450000000000001</v>
      </c>
      <c r="Q43" s="1">
        <v>1</v>
      </c>
      <c r="R43" s="1">
        <v>0.23</v>
      </c>
      <c r="S43" s="1">
        <v>0.23</v>
      </c>
      <c r="T43" s="1">
        <v>5.1999999999999998E-3</v>
      </c>
      <c r="U43" s="1">
        <v>5.1999999999999998E-3</v>
      </c>
      <c r="V43" s="1">
        <v>4.1047642242396116E-3</v>
      </c>
      <c r="W43" s="1">
        <v>4.1047642242396116E-3</v>
      </c>
      <c r="X43" s="6">
        <v>7.4040846061261156E-2</v>
      </c>
      <c r="Y43" s="1" t="s">
        <v>195</v>
      </c>
      <c r="Z43" s="1" t="s">
        <v>195</v>
      </c>
      <c r="AA43" s="2">
        <v>63</v>
      </c>
      <c r="AB43" s="3">
        <v>949</v>
      </c>
    </row>
    <row r="44" spans="1:28" x14ac:dyDescent="0.25">
      <c r="A44" s="1" t="s">
        <v>11</v>
      </c>
      <c r="B44" s="1">
        <v>36</v>
      </c>
      <c r="C44" s="1" t="s">
        <v>16</v>
      </c>
      <c r="D44" s="1" t="s">
        <v>22</v>
      </c>
      <c r="E44" s="1">
        <v>1.6500000000000001E-2</v>
      </c>
      <c r="F44" s="1">
        <v>1.15E-2</v>
      </c>
      <c r="G44" s="1" t="s">
        <v>199</v>
      </c>
      <c r="H44" s="1">
        <v>2.0000000000000002E-5</v>
      </c>
      <c r="I44" s="1">
        <v>0.15</v>
      </c>
      <c r="J44" s="5">
        <v>0.92</v>
      </c>
      <c r="K44" s="1" t="b">
        <v>1</v>
      </c>
      <c r="L44" s="1">
        <f t="shared" si="3"/>
        <v>0</v>
      </c>
      <c r="M44" s="1">
        <v>0</v>
      </c>
      <c r="N44" s="1">
        <f t="shared" si="4"/>
        <v>1.4380390715608661E-2</v>
      </c>
      <c r="O44" s="1">
        <v>1.4380390715608661E-2</v>
      </c>
      <c r="P44" s="1">
        <f t="shared" si="5"/>
        <v>0.24609999999999999</v>
      </c>
      <c r="Q44" s="1">
        <v>1</v>
      </c>
      <c r="R44" s="1">
        <v>0.214</v>
      </c>
      <c r="S44" s="1">
        <v>0.214</v>
      </c>
      <c r="T44" s="1">
        <v>0</v>
      </c>
      <c r="U44" s="1">
        <v>0</v>
      </c>
      <c r="V44" s="1">
        <v>1.1061839012006662E-2</v>
      </c>
      <c r="W44" s="1">
        <v>1.1061839012006662E-2</v>
      </c>
      <c r="X44" s="6">
        <v>5.9255891236150049E-2</v>
      </c>
      <c r="Y44" s="1">
        <v>0</v>
      </c>
      <c r="Z44" s="1">
        <v>0</v>
      </c>
      <c r="AA44" s="2">
        <v>36</v>
      </c>
      <c r="AB44" s="3">
        <v>0</v>
      </c>
    </row>
    <row r="45" spans="1:28" x14ac:dyDescent="0.25">
      <c r="A45" s="1" t="s">
        <v>12</v>
      </c>
      <c r="B45" s="1">
        <v>60</v>
      </c>
      <c r="C45" s="1" t="s">
        <v>16</v>
      </c>
      <c r="D45" s="1" t="s">
        <v>22</v>
      </c>
      <c r="E45" s="1">
        <v>1.6500000000000001E-2</v>
      </c>
      <c r="F45" s="1">
        <v>1.15E-2</v>
      </c>
      <c r="G45" s="1" t="s">
        <v>199</v>
      </c>
      <c r="H45" s="1">
        <v>2.0000000000000002E-5</v>
      </c>
      <c r="I45" s="1">
        <v>0.15</v>
      </c>
      <c r="J45" s="5">
        <v>0.88500000000000001</v>
      </c>
      <c r="K45" s="1" t="b">
        <v>1</v>
      </c>
      <c r="L45" s="1">
        <f t="shared" si="3"/>
        <v>0</v>
      </c>
      <c r="M45" s="1">
        <v>0</v>
      </c>
      <c r="N45" s="1">
        <f t="shared" si="4"/>
        <v>1.3407174115157124E-2</v>
      </c>
      <c r="O45" s="1">
        <v>1.3407174115157124E-2</v>
      </c>
      <c r="P45" s="1">
        <f t="shared" si="5"/>
        <v>0.15984999999999999</v>
      </c>
      <c r="Q45" s="1">
        <v>1</v>
      </c>
      <c r="R45" s="1">
        <v>0.13900000000000001</v>
      </c>
      <c r="S45" s="1">
        <v>0.13900000000000001</v>
      </c>
      <c r="T45" s="1">
        <v>0</v>
      </c>
      <c r="U45" s="1">
        <v>0</v>
      </c>
      <c r="V45" s="1">
        <v>1.0313210857813173E-2</v>
      </c>
      <c r="W45" s="1">
        <v>1.0313210857813173E-2</v>
      </c>
      <c r="X45" s="6">
        <v>5.3567640213698198E-2</v>
      </c>
      <c r="Y45" s="1">
        <v>0</v>
      </c>
      <c r="Z45" s="1">
        <v>0</v>
      </c>
      <c r="AA45" s="2">
        <v>60</v>
      </c>
      <c r="AB45" s="3">
        <v>0</v>
      </c>
    </row>
    <row r="46" spans="1:28" x14ac:dyDescent="0.25">
      <c r="A46" s="1" t="s">
        <v>13</v>
      </c>
      <c r="B46" s="1">
        <v>6</v>
      </c>
      <c r="C46" s="1" t="s">
        <v>17</v>
      </c>
      <c r="D46" s="1" t="s">
        <v>208</v>
      </c>
      <c r="E46" s="1">
        <v>0.02</v>
      </c>
      <c r="F46" s="1">
        <v>1.2500000000000001E-2</v>
      </c>
      <c r="G46" s="1" t="s">
        <v>207</v>
      </c>
      <c r="H46" s="1">
        <v>2.0000000000000002E-5</v>
      </c>
      <c r="I46" s="1">
        <v>0.15</v>
      </c>
      <c r="J46" s="5">
        <v>0.91349999999999998</v>
      </c>
      <c r="K46" s="1" t="b">
        <v>1</v>
      </c>
      <c r="L46" s="1">
        <f t="shared" si="3"/>
        <v>0.12532000000000001</v>
      </c>
      <c r="M46" s="1">
        <v>0.12532000000000001</v>
      </c>
      <c r="N46" s="1">
        <f t="shared" si="4"/>
        <v>0.12532000000000001</v>
      </c>
      <c r="O46" s="1">
        <v>0.12532000000000001</v>
      </c>
      <c r="P46" s="1">
        <f t="shared" si="5"/>
        <v>0.26967499999999994</v>
      </c>
      <c r="Q46" s="1">
        <v>1</v>
      </c>
      <c r="R46" s="1">
        <v>0.23449999999999999</v>
      </c>
      <c r="S46" s="1">
        <v>0.23449999999999999</v>
      </c>
      <c r="T46" s="1">
        <v>9.64E-2</v>
      </c>
      <c r="U46" s="1">
        <v>9.64E-2</v>
      </c>
      <c r="V46" s="1">
        <v>9.64E-2</v>
      </c>
      <c r="W46" s="1">
        <v>9.64E-2</v>
      </c>
      <c r="X46" s="6">
        <v>0.15780109551905941</v>
      </c>
      <c r="Y46" s="1" t="s">
        <v>205</v>
      </c>
      <c r="Z46" s="1" t="s">
        <v>205</v>
      </c>
      <c r="AA46" s="2">
        <v>61</v>
      </c>
      <c r="AB46" s="3">
        <v>1598.9999999999998</v>
      </c>
    </row>
    <row r="47" spans="1:28" x14ac:dyDescent="0.25">
      <c r="A47" s="1" t="s">
        <v>14</v>
      </c>
      <c r="B47" s="1">
        <v>12</v>
      </c>
      <c r="C47" s="1" t="s">
        <v>17</v>
      </c>
      <c r="D47" s="1" t="s">
        <v>208</v>
      </c>
      <c r="E47" s="1">
        <v>0.02</v>
      </c>
      <c r="F47" s="1">
        <v>1.2500000000000001E-2</v>
      </c>
      <c r="G47" s="1" t="s">
        <v>207</v>
      </c>
      <c r="H47" s="1">
        <v>2.0000000000000002E-5</v>
      </c>
      <c r="I47" s="1">
        <v>0.15</v>
      </c>
      <c r="J47" s="5">
        <v>0.91349999999999998</v>
      </c>
      <c r="K47" s="1" t="b">
        <v>1</v>
      </c>
      <c r="L47" s="1">
        <f t="shared" si="3"/>
        <v>0.12532000000000001</v>
      </c>
      <c r="M47" s="1">
        <v>0.12532000000000001</v>
      </c>
      <c r="N47" s="1">
        <f t="shared" si="4"/>
        <v>0.12532000000000001</v>
      </c>
      <c r="O47" s="1">
        <v>0.12532000000000001</v>
      </c>
      <c r="P47" s="1">
        <f t="shared" si="5"/>
        <v>0.27484999999999998</v>
      </c>
      <c r="Q47" s="1">
        <v>1</v>
      </c>
      <c r="R47" s="1">
        <v>0.23899999999999999</v>
      </c>
      <c r="S47" s="1">
        <v>0.23899999999999999</v>
      </c>
      <c r="T47" s="1">
        <v>9.64E-2</v>
      </c>
      <c r="U47" s="1">
        <v>9.64E-2</v>
      </c>
      <c r="V47" s="1">
        <v>9.64E-2</v>
      </c>
      <c r="W47" s="1">
        <v>9.64E-2</v>
      </c>
      <c r="X47" s="6">
        <v>0.12729977387087654</v>
      </c>
      <c r="Y47" s="1" t="s">
        <v>206</v>
      </c>
      <c r="Z47" s="1" t="s">
        <v>206</v>
      </c>
      <c r="AA47" s="2">
        <v>63</v>
      </c>
      <c r="AB47" s="3">
        <v>1598.9999999999998</v>
      </c>
    </row>
    <row r="48" spans="1:28" x14ac:dyDescent="0.25">
      <c r="A48" s="1" t="s">
        <v>28</v>
      </c>
      <c r="B48" s="1">
        <v>12</v>
      </c>
      <c r="C48" s="1" t="s">
        <v>17</v>
      </c>
      <c r="D48" s="1" t="s">
        <v>23</v>
      </c>
      <c r="E48" s="1">
        <v>0.02</v>
      </c>
      <c r="F48" s="1">
        <v>1.2500000000000001E-2</v>
      </c>
      <c r="G48" s="1" t="s">
        <v>197</v>
      </c>
      <c r="H48" s="1">
        <v>2.0000000000000002E-5</v>
      </c>
      <c r="I48" s="1">
        <v>0.15</v>
      </c>
      <c r="J48" s="5">
        <v>0.97499999999999998</v>
      </c>
      <c r="K48" s="1" t="b">
        <v>1</v>
      </c>
      <c r="L48" s="1">
        <f t="shared" si="3"/>
        <v>2.7451007999999999E-2</v>
      </c>
      <c r="M48" s="1">
        <v>2.7451007999999999E-2</v>
      </c>
      <c r="N48" s="1">
        <f t="shared" si="4"/>
        <v>2.7451007999999999E-2</v>
      </c>
      <c r="O48" s="1">
        <v>2.7451007999999999E-2</v>
      </c>
      <c r="P48" s="1">
        <f t="shared" si="5"/>
        <v>0.26450000000000001</v>
      </c>
      <c r="Q48" s="1">
        <v>1</v>
      </c>
      <c r="R48" s="1">
        <v>0.23</v>
      </c>
      <c r="S48" s="1">
        <v>0.23</v>
      </c>
      <c r="T48" s="1">
        <v>2.1116159999999998E-2</v>
      </c>
      <c r="U48" s="1">
        <v>2.1116159999999998E-2</v>
      </c>
      <c r="V48" s="1">
        <v>2.1116159999999998E-2</v>
      </c>
      <c r="W48" s="1">
        <v>2.1116159999999998E-2</v>
      </c>
      <c r="X48" s="6">
        <v>5.466488328660013E-2</v>
      </c>
      <c r="Y48" s="1" t="s">
        <v>193</v>
      </c>
      <c r="Z48" s="1" t="s">
        <v>193</v>
      </c>
      <c r="AA48" s="2">
        <v>132</v>
      </c>
      <c r="AB48" s="3">
        <v>1049</v>
      </c>
    </row>
    <row r="49" spans="1:28" x14ac:dyDescent="0.25">
      <c r="A49" s="1" t="s">
        <v>29</v>
      </c>
      <c r="B49" s="1">
        <v>6</v>
      </c>
      <c r="C49" s="1" t="s">
        <v>17</v>
      </c>
      <c r="D49" s="1" t="s">
        <v>23</v>
      </c>
      <c r="E49" s="1">
        <v>0.02</v>
      </c>
      <c r="F49" s="1">
        <v>1.2500000000000001E-2</v>
      </c>
      <c r="G49" s="1" t="s">
        <v>197</v>
      </c>
      <c r="H49" s="1">
        <v>2.0000000000000002E-5</v>
      </c>
      <c r="I49" s="1">
        <v>0.15</v>
      </c>
      <c r="J49" s="5">
        <v>0.98499999999999999</v>
      </c>
      <c r="K49" s="1" t="b">
        <v>1</v>
      </c>
      <c r="L49" s="1">
        <f t="shared" si="3"/>
        <v>2.3644452000000003E-2</v>
      </c>
      <c r="M49" s="1">
        <v>2.3644452000000003E-2</v>
      </c>
      <c r="N49" s="1">
        <f t="shared" si="4"/>
        <v>2.3644452000000003E-2</v>
      </c>
      <c r="O49" s="1">
        <v>2.3644452000000003E-2</v>
      </c>
      <c r="P49" s="1">
        <f t="shared" si="5"/>
        <v>0.26450000000000001</v>
      </c>
      <c r="Q49" s="1">
        <v>1</v>
      </c>
      <c r="R49" s="1">
        <v>0.23</v>
      </c>
      <c r="S49" s="1">
        <v>0.23</v>
      </c>
      <c r="T49" s="1">
        <v>1.8188040000000003E-2</v>
      </c>
      <c r="U49" s="1">
        <v>1.8188040000000003E-2</v>
      </c>
      <c r="V49" s="1">
        <v>1.8188040000000003E-2</v>
      </c>
      <c r="W49" s="1">
        <v>1.8188040000000003E-2</v>
      </c>
      <c r="X49" s="6">
        <v>7.3033018447633324E-2</v>
      </c>
      <c r="Y49" s="1" t="s">
        <v>194</v>
      </c>
      <c r="Z49" s="1" t="s">
        <v>194</v>
      </c>
      <c r="AA49" s="2">
        <v>186</v>
      </c>
      <c r="AB49" s="3">
        <v>1049</v>
      </c>
    </row>
    <row r="50" spans="1:28" x14ac:dyDescent="0.25">
      <c r="A50" s="1" t="s">
        <v>30</v>
      </c>
      <c r="B50" s="1">
        <v>3</v>
      </c>
      <c r="C50" s="1" t="s">
        <v>17</v>
      </c>
      <c r="D50" s="1" t="s">
        <v>23</v>
      </c>
      <c r="E50" s="1">
        <v>0.02</v>
      </c>
      <c r="F50" s="1">
        <v>1.2500000000000001E-2</v>
      </c>
      <c r="G50" s="1" t="s">
        <v>197</v>
      </c>
      <c r="H50" s="1">
        <v>2.0000000000000002E-5</v>
      </c>
      <c r="I50" s="1">
        <v>0.15</v>
      </c>
      <c r="J50" s="5">
        <v>0.99750000000000005</v>
      </c>
      <c r="K50" s="1" t="b">
        <v>1</v>
      </c>
      <c r="L50" s="1">
        <f t="shared" si="3"/>
        <v>2.9738591999999994E-2</v>
      </c>
      <c r="M50" s="1">
        <v>2.9738591999999994E-2</v>
      </c>
      <c r="N50" s="1">
        <f t="shared" si="4"/>
        <v>2.9738591999999994E-2</v>
      </c>
      <c r="O50" s="1">
        <v>2.9738591999999994E-2</v>
      </c>
      <c r="P50" s="1">
        <f t="shared" si="5"/>
        <v>0.26450000000000001</v>
      </c>
      <c r="Q50" s="1">
        <v>1</v>
      </c>
      <c r="R50" s="1">
        <v>0.23</v>
      </c>
      <c r="S50" s="1">
        <v>0.23</v>
      </c>
      <c r="T50" s="1">
        <v>2.2875839999999995E-2</v>
      </c>
      <c r="U50" s="1">
        <v>2.2875839999999995E-2</v>
      </c>
      <c r="V50" s="1">
        <v>2.2875839999999995E-2</v>
      </c>
      <c r="W50" s="1">
        <v>2.2875839999999995E-2</v>
      </c>
      <c r="X50" s="6">
        <v>7.0468849462134386E-2</v>
      </c>
      <c r="Y50" s="1" t="s">
        <v>195</v>
      </c>
      <c r="Z50" s="1" t="s">
        <v>195</v>
      </c>
      <c r="AA50" s="2">
        <v>63</v>
      </c>
      <c r="AB50" s="3">
        <v>1049</v>
      </c>
    </row>
    <row r="51" spans="1:28" x14ac:dyDescent="0.25">
      <c r="A51" s="1" t="s">
        <v>27</v>
      </c>
      <c r="B51" s="1">
        <v>0</v>
      </c>
      <c r="C51" s="1" t="s">
        <v>17</v>
      </c>
      <c r="D51" s="1" t="s">
        <v>23</v>
      </c>
      <c r="E51" s="1">
        <v>0.02</v>
      </c>
      <c r="F51" s="1">
        <v>1.2500000000000001E-2</v>
      </c>
      <c r="G51" s="1" t="s">
        <v>198</v>
      </c>
      <c r="H51" s="1">
        <v>2.0000000000000002E-5</v>
      </c>
      <c r="I51" s="1">
        <v>0.15</v>
      </c>
      <c r="J51" s="5">
        <v>0.89249999999999996</v>
      </c>
      <c r="K51" s="1" t="b">
        <v>1</v>
      </c>
      <c r="L51" s="1">
        <f t="shared" si="3"/>
        <v>0</v>
      </c>
      <c r="M51" s="1">
        <v>0</v>
      </c>
      <c r="N51" s="1">
        <f t="shared" si="4"/>
        <v>0.12532000000000001</v>
      </c>
      <c r="O51" s="1">
        <v>0.12532000000000001</v>
      </c>
      <c r="P51" s="1">
        <f t="shared" si="5"/>
        <v>0.18745000000000001</v>
      </c>
      <c r="Q51" s="1">
        <v>1</v>
      </c>
      <c r="R51" s="1">
        <v>0.16300000000000001</v>
      </c>
      <c r="S51" s="1">
        <v>0.16300000000000001</v>
      </c>
      <c r="T51" s="1">
        <v>0</v>
      </c>
      <c r="U51" s="1">
        <v>0</v>
      </c>
      <c r="V51" s="1">
        <v>9.64E-2</v>
      </c>
      <c r="W51" s="1">
        <v>9.64E-2</v>
      </c>
      <c r="X51" s="6">
        <v>6.7758857780146897E-2</v>
      </c>
      <c r="Y51" s="1">
        <v>0</v>
      </c>
      <c r="Z51" s="1">
        <v>0</v>
      </c>
      <c r="AA51" s="2">
        <v>120</v>
      </c>
      <c r="AB51" s="3">
        <v>1099</v>
      </c>
    </row>
    <row r="52" spans="1:28" x14ac:dyDescent="0.25">
      <c r="A52" s="1" t="s">
        <v>31</v>
      </c>
      <c r="B52" s="1">
        <v>12</v>
      </c>
      <c r="C52" s="1" t="s">
        <v>17</v>
      </c>
      <c r="D52" s="1" t="s">
        <v>23</v>
      </c>
      <c r="E52" s="1">
        <v>0.02</v>
      </c>
      <c r="F52" s="1">
        <v>1.2500000000000001E-2</v>
      </c>
      <c r="G52" s="1" t="s">
        <v>197</v>
      </c>
      <c r="H52" s="1">
        <v>2.0000000000000002E-5</v>
      </c>
      <c r="I52" s="1">
        <v>0.15</v>
      </c>
      <c r="J52" s="5">
        <v>0.97499999999999998</v>
      </c>
      <c r="K52" s="1" t="b">
        <v>1</v>
      </c>
      <c r="L52" s="1">
        <f t="shared" si="3"/>
        <v>2.7451007999999999E-2</v>
      </c>
      <c r="M52" s="1">
        <v>2.7451007999999999E-2</v>
      </c>
      <c r="N52" s="1">
        <f t="shared" si="4"/>
        <v>2.7451007999999999E-2</v>
      </c>
      <c r="O52" s="1">
        <v>2.7451007999999999E-2</v>
      </c>
      <c r="P52" s="1">
        <f t="shared" si="5"/>
        <v>0.26450000000000001</v>
      </c>
      <c r="Q52" s="1">
        <v>1</v>
      </c>
      <c r="R52" s="1">
        <v>0.23</v>
      </c>
      <c r="S52" s="1">
        <v>0.23</v>
      </c>
      <c r="T52" s="1">
        <v>2.1116159999999998E-2</v>
      </c>
      <c r="U52" s="1">
        <v>2.1116159999999998E-2</v>
      </c>
      <c r="V52" s="1">
        <v>2.1116159999999998E-2</v>
      </c>
      <c r="W52" s="1">
        <v>2.1116159999999998E-2</v>
      </c>
      <c r="X52" s="6">
        <v>5.7446902339609807E-2</v>
      </c>
      <c r="Y52" s="1" t="s">
        <v>193</v>
      </c>
      <c r="Z52" s="1" t="s">
        <v>193</v>
      </c>
      <c r="AA52" s="2">
        <v>132</v>
      </c>
      <c r="AB52" s="3">
        <v>1099</v>
      </c>
    </row>
    <row r="53" spans="1:28" x14ac:dyDescent="0.25">
      <c r="A53" s="1" t="s">
        <v>32</v>
      </c>
      <c r="B53" s="1">
        <v>6</v>
      </c>
      <c r="C53" s="1" t="s">
        <v>17</v>
      </c>
      <c r="D53" s="1" t="s">
        <v>23</v>
      </c>
      <c r="E53" s="1">
        <v>0.02</v>
      </c>
      <c r="F53" s="1">
        <v>1.2500000000000001E-2</v>
      </c>
      <c r="G53" s="1" t="s">
        <v>197</v>
      </c>
      <c r="H53" s="1">
        <v>2.0000000000000002E-5</v>
      </c>
      <c r="I53" s="1">
        <v>0.15</v>
      </c>
      <c r="J53" s="5">
        <v>0.98499999999999999</v>
      </c>
      <c r="K53" s="1" t="b">
        <v>1</v>
      </c>
      <c r="L53" s="1">
        <f t="shared" si="3"/>
        <v>2.3644452000000003E-2</v>
      </c>
      <c r="M53" s="1">
        <v>2.3644452000000003E-2</v>
      </c>
      <c r="N53" s="1">
        <f t="shared" si="4"/>
        <v>2.3644452000000003E-2</v>
      </c>
      <c r="O53" s="1">
        <v>2.3644452000000003E-2</v>
      </c>
      <c r="P53" s="1">
        <f t="shared" si="5"/>
        <v>0.26450000000000001</v>
      </c>
      <c r="Q53" s="1">
        <v>1</v>
      </c>
      <c r="R53" s="1">
        <v>0.23</v>
      </c>
      <c r="S53" s="1">
        <v>0.23</v>
      </c>
      <c r="T53" s="1">
        <v>1.8188040000000003E-2</v>
      </c>
      <c r="U53" s="1">
        <v>1.8188040000000003E-2</v>
      </c>
      <c r="V53" s="1">
        <v>1.8188040000000003E-2</v>
      </c>
      <c r="W53" s="1">
        <v>1.8188040000000003E-2</v>
      </c>
      <c r="X53" s="6">
        <v>7.6803137963182166E-2</v>
      </c>
      <c r="Y53" s="1" t="s">
        <v>194</v>
      </c>
      <c r="Z53" s="1" t="s">
        <v>194</v>
      </c>
      <c r="AA53" s="2">
        <v>186</v>
      </c>
      <c r="AB53" s="3">
        <v>1099</v>
      </c>
    </row>
    <row r="54" spans="1:28" x14ac:dyDescent="0.25">
      <c r="A54" s="1" t="s">
        <v>33</v>
      </c>
      <c r="B54" s="1">
        <v>3</v>
      </c>
      <c r="C54" s="1" t="s">
        <v>17</v>
      </c>
      <c r="D54" s="1" t="s">
        <v>23</v>
      </c>
      <c r="E54" s="1">
        <v>0.02</v>
      </c>
      <c r="F54" s="1">
        <v>1.2500000000000001E-2</v>
      </c>
      <c r="G54" s="1" t="s">
        <v>197</v>
      </c>
      <c r="H54" s="1">
        <v>2.0000000000000002E-5</v>
      </c>
      <c r="I54" s="1">
        <v>0.15</v>
      </c>
      <c r="J54" s="5">
        <v>0.99750000000000005</v>
      </c>
      <c r="K54" s="1" t="b">
        <v>1</v>
      </c>
      <c r="L54" s="1">
        <f t="shared" si="3"/>
        <v>2.9738591999999994E-2</v>
      </c>
      <c r="M54" s="1">
        <v>2.9738591999999994E-2</v>
      </c>
      <c r="N54" s="1">
        <f t="shared" si="4"/>
        <v>2.9738591999999994E-2</v>
      </c>
      <c r="O54" s="1">
        <v>2.9738591999999994E-2</v>
      </c>
      <c r="P54" s="1">
        <f t="shared" si="5"/>
        <v>0.26450000000000001</v>
      </c>
      <c r="Q54" s="1">
        <v>1</v>
      </c>
      <c r="R54" s="1">
        <v>0.23</v>
      </c>
      <c r="S54" s="1">
        <v>0.23</v>
      </c>
      <c r="T54" s="1">
        <v>2.2875839999999995E-2</v>
      </c>
      <c r="U54" s="1">
        <v>2.2875839999999995E-2</v>
      </c>
      <c r="V54" s="1">
        <v>2.2875839999999995E-2</v>
      </c>
      <c r="W54" s="1">
        <v>2.2875839999999995E-2</v>
      </c>
      <c r="X54" s="6">
        <v>7.4645872239842426E-2</v>
      </c>
      <c r="Y54" s="1" t="s">
        <v>195</v>
      </c>
      <c r="Z54" s="1" t="s">
        <v>195</v>
      </c>
      <c r="AA54" s="2">
        <v>63</v>
      </c>
      <c r="AB54" s="3">
        <v>1099</v>
      </c>
    </row>
    <row r="55" spans="1:28" x14ac:dyDescent="0.25">
      <c r="A55" s="1" t="s">
        <v>34</v>
      </c>
      <c r="B55" s="1">
        <v>12</v>
      </c>
      <c r="C55" s="1" t="s">
        <v>17</v>
      </c>
      <c r="D55" s="1" t="s">
        <v>23</v>
      </c>
      <c r="E55" s="1">
        <v>0.02</v>
      </c>
      <c r="F55" s="1">
        <v>1.2500000000000001E-2</v>
      </c>
      <c r="G55" s="1" t="s">
        <v>197</v>
      </c>
      <c r="H55" s="1">
        <v>2.0000000000000002E-5</v>
      </c>
      <c r="I55" s="1">
        <v>0.15</v>
      </c>
      <c r="J55" s="5">
        <v>0.97499999999999998</v>
      </c>
      <c r="K55" s="1" t="b">
        <v>1</v>
      </c>
      <c r="L55" s="1">
        <f t="shared" si="3"/>
        <v>1.8720000000000001E-2</v>
      </c>
      <c r="M55" s="1">
        <v>1.8720000000000001E-2</v>
      </c>
      <c r="N55" s="1">
        <f t="shared" si="4"/>
        <v>2.7451007999999999E-2</v>
      </c>
      <c r="O55" s="1">
        <v>2.7451007999999999E-2</v>
      </c>
      <c r="P55" s="1">
        <f t="shared" si="5"/>
        <v>0.26450000000000001</v>
      </c>
      <c r="Q55" s="1">
        <v>1</v>
      </c>
      <c r="R55" s="1">
        <v>0.23</v>
      </c>
      <c r="S55" s="1">
        <v>0.23</v>
      </c>
      <c r="T55" s="1">
        <v>1.44E-2</v>
      </c>
      <c r="U55" s="1">
        <v>1.44E-2</v>
      </c>
      <c r="V55" s="1">
        <v>2.1116159999999998E-2</v>
      </c>
      <c r="W55" s="1">
        <v>2.1116159999999998E-2</v>
      </c>
      <c r="X55" s="6">
        <v>6.2764004201427248E-2</v>
      </c>
      <c r="Y55" s="1" t="s">
        <v>193</v>
      </c>
      <c r="Z55" s="1" t="s">
        <v>193</v>
      </c>
      <c r="AA55" s="2">
        <v>132</v>
      </c>
      <c r="AB55" s="3">
        <v>1149</v>
      </c>
    </row>
    <row r="56" spans="1:28" x14ac:dyDescent="0.25">
      <c r="A56" s="1" t="s">
        <v>35</v>
      </c>
      <c r="B56" s="1">
        <v>6</v>
      </c>
      <c r="C56" s="1" t="s">
        <v>17</v>
      </c>
      <c r="D56" s="1" t="s">
        <v>23</v>
      </c>
      <c r="E56" s="1">
        <v>0.02</v>
      </c>
      <c r="F56" s="1">
        <v>1.2500000000000001E-2</v>
      </c>
      <c r="G56" s="1" t="s">
        <v>197</v>
      </c>
      <c r="H56" s="1">
        <v>2.0000000000000002E-5</v>
      </c>
      <c r="I56" s="1">
        <v>0.15</v>
      </c>
      <c r="J56" s="5">
        <v>0.98499999999999999</v>
      </c>
      <c r="K56" s="1" t="b">
        <v>1</v>
      </c>
      <c r="L56" s="1">
        <f t="shared" si="3"/>
        <v>1.703E-2</v>
      </c>
      <c r="M56" s="1">
        <v>1.703E-2</v>
      </c>
      <c r="N56" s="1">
        <f t="shared" si="4"/>
        <v>2.3644452000000003E-2</v>
      </c>
      <c r="O56" s="1">
        <v>2.3644452000000003E-2</v>
      </c>
      <c r="P56" s="1">
        <f t="shared" si="5"/>
        <v>0.26450000000000001</v>
      </c>
      <c r="Q56" s="1">
        <v>1</v>
      </c>
      <c r="R56" s="1">
        <v>0.23</v>
      </c>
      <c r="S56" s="1">
        <v>0.23</v>
      </c>
      <c r="T56" s="1">
        <v>1.3100000000000001E-2</v>
      </c>
      <c r="U56" s="1">
        <v>1.3100000000000001E-2</v>
      </c>
      <c r="V56" s="1">
        <v>1.8188040000000003E-2</v>
      </c>
      <c r="W56" s="1">
        <v>1.8188040000000003E-2</v>
      </c>
      <c r="X56" s="6">
        <v>8.1576783408107367E-2</v>
      </c>
      <c r="Y56" s="1" t="s">
        <v>194</v>
      </c>
      <c r="Z56" s="1" t="s">
        <v>194</v>
      </c>
      <c r="AA56" s="2">
        <v>186</v>
      </c>
      <c r="AB56" s="3">
        <v>1149</v>
      </c>
    </row>
    <row r="57" spans="1:28" x14ac:dyDescent="0.25">
      <c r="A57" s="1" t="s">
        <v>36</v>
      </c>
      <c r="B57" s="1">
        <v>3</v>
      </c>
      <c r="C57" s="1" t="s">
        <v>17</v>
      </c>
      <c r="D57" s="1" t="s">
        <v>23</v>
      </c>
      <c r="E57" s="1">
        <v>0.02</v>
      </c>
      <c r="F57" s="1">
        <v>1.2500000000000001E-2</v>
      </c>
      <c r="G57" s="1" t="s">
        <v>197</v>
      </c>
      <c r="H57" s="1">
        <v>2.0000000000000002E-5</v>
      </c>
      <c r="I57" s="1">
        <v>0.15</v>
      </c>
      <c r="J57" s="5">
        <v>0.99750000000000005</v>
      </c>
      <c r="K57" s="1" t="b">
        <v>1</v>
      </c>
      <c r="L57" s="1">
        <f t="shared" si="3"/>
        <v>2.0279999999999999E-2</v>
      </c>
      <c r="M57" s="1">
        <v>2.0279999999999999E-2</v>
      </c>
      <c r="N57" s="1">
        <f t="shared" si="4"/>
        <v>2.9738591999999994E-2</v>
      </c>
      <c r="O57" s="1">
        <v>2.9738591999999994E-2</v>
      </c>
      <c r="P57" s="1">
        <f t="shared" si="5"/>
        <v>0.26450000000000001</v>
      </c>
      <c r="Q57" s="1">
        <v>1</v>
      </c>
      <c r="R57" s="1">
        <v>0.23</v>
      </c>
      <c r="S57" s="1">
        <v>0.23</v>
      </c>
      <c r="T57" s="1">
        <v>1.5599999999999999E-2</v>
      </c>
      <c r="U57" s="1">
        <v>1.5599999999999999E-2</v>
      </c>
      <c r="V57" s="1">
        <v>2.2875839999999995E-2</v>
      </c>
      <c r="W57" s="1">
        <v>2.2875839999999995E-2</v>
      </c>
      <c r="X57" s="6">
        <v>7.9787006114787395E-2</v>
      </c>
      <c r="Y57" s="1" t="s">
        <v>195</v>
      </c>
      <c r="Z57" s="1" t="s">
        <v>195</v>
      </c>
      <c r="AA57" s="2">
        <v>63</v>
      </c>
      <c r="AB57" s="3">
        <v>1149</v>
      </c>
    </row>
    <row r="58" spans="1:28" x14ac:dyDescent="0.25">
      <c r="A58" s="1" t="s">
        <v>37</v>
      </c>
      <c r="B58" s="1">
        <v>12</v>
      </c>
      <c r="C58" s="1" t="s">
        <v>17</v>
      </c>
      <c r="D58" s="1" t="s">
        <v>23</v>
      </c>
      <c r="E58" s="1">
        <v>0.02</v>
      </c>
      <c r="F58" s="1">
        <v>1.2500000000000001E-2</v>
      </c>
      <c r="G58" s="1" t="s">
        <v>197</v>
      </c>
      <c r="H58" s="1">
        <v>2.0000000000000002E-5</v>
      </c>
      <c r="I58" s="1">
        <v>0.15</v>
      </c>
      <c r="J58" s="5">
        <v>0.97499999999999998</v>
      </c>
      <c r="K58" s="1" t="b">
        <v>1</v>
      </c>
      <c r="L58" s="1">
        <f t="shared" si="3"/>
        <v>2.6870999999999999E-2</v>
      </c>
      <c r="M58" s="1">
        <v>2.6870999999999999E-2</v>
      </c>
      <c r="N58" s="1">
        <f t="shared" si="4"/>
        <v>2.6870999999999999E-2</v>
      </c>
      <c r="O58" s="1">
        <v>2.6870999999999999E-2</v>
      </c>
      <c r="P58" s="1">
        <f t="shared" si="5"/>
        <v>0.26450000000000001</v>
      </c>
      <c r="Q58" s="1">
        <v>1</v>
      </c>
      <c r="R58" s="1">
        <v>0.23</v>
      </c>
      <c r="S58" s="1">
        <v>0.23</v>
      </c>
      <c r="T58" s="1">
        <v>2.0669999999999997E-2</v>
      </c>
      <c r="U58" s="1">
        <v>2.0669999999999997E-2</v>
      </c>
      <c r="V58" s="1">
        <v>2.0669999999999997E-2</v>
      </c>
      <c r="W58" s="1">
        <v>2.0669999999999997E-2</v>
      </c>
      <c r="X58" s="6">
        <v>6.3387707036416607E-2</v>
      </c>
      <c r="Y58" s="1" t="s">
        <v>193</v>
      </c>
      <c r="Z58" s="1" t="s">
        <v>193</v>
      </c>
      <c r="AA58" s="2">
        <v>132</v>
      </c>
      <c r="AB58" s="3">
        <v>1199</v>
      </c>
    </row>
    <row r="59" spans="1:28" x14ac:dyDescent="0.25">
      <c r="A59" s="1" t="s">
        <v>38</v>
      </c>
      <c r="B59" s="1">
        <v>6</v>
      </c>
      <c r="C59" s="1" t="s">
        <v>17</v>
      </c>
      <c r="D59" s="1" t="s">
        <v>23</v>
      </c>
      <c r="E59" s="1">
        <v>0.02</v>
      </c>
      <c r="F59" s="1">
        <v>1.2500000000000001E-2</v>
      </c>
      <c r="G59" s="1" t="s">
        <v>197</v>
      </c>
      <c r="H59" s="1">
        <v>2.0000000000000002E-5</v>
      </c>
      <c r="I59" s="1">
        <v>0.15</v>
      </c>
      <c r="J59" s="5">
        <v>0.98499999999999999</v>
      </c>
      <c r="K59" s="1" t="b">
        <v>1</v>
      </c>
      <c r="L59" s="1">
        <f t="shared" si="3"/>
        <v>2.2267439999999999E-2</v>
      </c>
      <c r="M59" s="1">
        <v>2.2267439999999999E-2</v>
      </c>
      <c r="N59" s="1">
        <f t="shared" si="4"/>
        <v>2.2267439999999999E-2</v>
      </c>
      <c r="O59" s="1">
        <v>2.2267439999999999E-2</v>
      </c>
      <c r="P59" s="1">
        <f t="shared" si="5"/>
        <v>0.26450000000000001</v>
      </c>
      <c r="Q59" s="1">
        <v>1</v>
      </c>
      <c r="R59" s="1">
        <v>0.23</v>
      </c>
      <c r="S59" s="1">
        <v>0.23</v>
      </c>
      <c r="T59" s="1">
        <v>1.71288E-2</v>
      </c>
      <c r="U59" s="1">
        <v>1.71288E-2</v>
      </c>
      <c r="V59" s="1">
        <v>1.71288E-2</v>
      </c>
      <c r="W59" s="1">
        <v>1.71288E-2</v>
      </c>
      <c r="X59" s="6">
        <v>8.5263299848686636E-2</v>
      </c>
      <c r="Y59" s="1" t="s">
        <v>194</v>
      </c>
      <c r="Z59" s="1" t="s">
        <v>194</v>
      </c>
      <c r="AA59" s="2">
        <v>186</v>
      </c>
      <c r="AB59" s="3">
        <v>1199</v>
      </c>
    </row>
    <row r="60" spans="1:28" x14ac:dyDescent="0.25">
      <c r="A60" s="1" t="s">
        <v>39</v>
      </c>
      <c r="B60" s="1">
        <v>3</v>
      </c>
      <c r="C60" s="1" t="s">
        <v>17</v>
      </c>
      <c r="D60" s="1" t="s">
        <v>23</v>
      </c>
      <c r="E60" s="1">
        <v>0.02</v>
      </c>
      <c r="F60" s="1">
        <v>1.2500000000000001E-2</v>
      </c>
      <c r="G60" s="1" t="s">
        <v>197</v>
      </c>
      <c r="H60" s="1">
        <v>2.0000000000000002E-5</v>
      </c>
      <c r="I60" s="1">
        <v>0.15</v>
      </c>
      <c r="J60" s="5">
        <v>0.99750000000000005</v>
      </c>
      <c r="K60" s="1" t="b">
        <v>1</v>
      </c>
      <c r="L60" s="1">
        <f t="shared" si="3"/>
        <v>2.7276599999999998E-2</v>
      </c>
      <c r="M60" s="1">
        <v>2.7276599999999998E-2</v>
      </c>
      <c r="N60" s="1">
        <f t="shared" si="4"/>
        <v>2.7276599999999998E-2</v>
      </c>
      <c r="O60" s="1">
        <v>2.7276599999999998E-2</v>
      </c>
      <c r="P60" s="1">
        <f t="shared" si="5"/>
        <v>0.26450000000000001</v>
      </c>
      <c r="Q60" s="1">
        <v>1</v>
      </c>
      <c r="R60" s="1">
        <v>0.23</v>
      </c>
      <c r="S60" s="1">
        <v>0.23</v>
      </c>
      <c r="T60" s="1">
        <v>2.0981999999999997E-2</v>
      </c>
      <c r="U60" s="1">
        <v>2.0981999999999997E-2</v>
      </c>
      <c r="V60" s="1">
        <v>2.0981999999999997E-2</v>
      </c>
      <c r="W60" s="1">
        <v>2.0981999999999997E-2</v>
      </c>
      <c r="X60" s="6">
        <v>8.4693795960952833E-2</v>
      </c>
      <c r="Y60" s="1" t="s">
        <v>195</v>
      </c>
      <c r="Z60" s="1" t="s">
        <v>195</v>
      </c>
      <c r="AA60" s="2">
        <v>63</v>
      </c>
      <c r="AB60" s="3">
        <v>1199</v>
      </c>
    </row>
    <row r="61" spans="1:28" x14ac:dyDescent="0.25">
      <c r="A61" s="1" t="s">
        <v>70</v>
      </c>
      <c r="B61" s="1">
        <v>12</v>
      </c>
      <c r="C61" s="1" t="s">
        <v>17</v>
      </c>
      <c r="D61" s="1" t="s">
        <v>23</v>
      </c>
      <c r="E61" s="1">
        <v>0.02</v>
      </c>
      <c r="F61" s="1">
        <v>1.2500000000000001E-2</v>
      </c>
      <c r="G61" s="1" t="s">
        <v>197</v>
      </c>
      <c r="H61" s="1">
        <v>2.0000000000000002E-5</v>
      </c>
      <c r="I61" s="1">
        <v>0.15</v>
      </c>
      <c r="J61" s="5">
        <v>0.97499999999999998</v>
      </c>
      <c r="K61" s="1" t="b">
        <v>1</v>
      </c>
      <c r="L61" s="1">
        <f t="shared" si="3"/>
        <v>3.4450000000000001E-2</v>
      </c>
      <c r="M61" s="1">
        <v>3.4450000000000001E-2</v>
      </c>
      <c r="N61" s="1">
        <f t="shared" si="4"/>
        <v>2.6870999999999999E-2</v>
      </c>
      <c r="O61" s="1">
        <v>2.6870999999999999E-2</v>
      </c>
      <c r="P61" s="1">
        <f t="shared" si="5"/>
        <v>0.26450000000000001</v>
      </c>
      <c r="Q61" s="1">
        <v>1</v>
      </c>
      <c r="R61" s="1">
        <v>0.23</v>
      </c>
      <c r="S61" s="1">
        <v>0.23</v>
      </c>
      <c r="T61" s="1">
        <v>2.6499999999999999E-2</v>
      </c>
      <c r="U61" s="1">
        <v>2.6499999999999999E-2</v>
      </c>
      <c r="V61" s="1">
        <v>2.0669999999999997E-2</v>
      </c>
      <c r="W61" s="1">
        <v>2.0669999999999997E-2</v>
      </c>
      <c r="X61" s="6">
        <v>6.3904039996713458E-2</v>
      </c>
      <c r="Y61" s="1" t="s">
        <v>193</v>
      </c>
      <c r="Z61" s="1" t="s">
        <v>193</v>
      </c>
      <c r="AA61" s="2">
        <v>132</v>
      </c>
      <c r="AB61" s="3">
        <v>1249</v>
      </c>
    </row>
    <row r="62" spans="1:28" x14ac:dyDescent="0.25">
      <c r="A62" s="1" t="s">
        <v>68</v>
      </c>
      <c r="B62" s="1">
        <v>6</v>
      </c>
      <c r="C62" s="1" t="s">
        <v>17</v>
      </c>
      <c r="D62" s="1" t="s">
        <v>23</v>
      </c>
      <c r="E62" s="1">
        <v>0.02</v>
      </c>
      <c r="F62" s="1">
        <v>1.2500000000000001E-2</v>
      </c>
      <c r="G62" s="1" t="s">
        <v>197</v>
      </c>
      <c r="H62" s="1">
        <v>2.0000000000000002E-5</v>
      </c>
      <c r="I62" s="1">
        <v>0.15</v>
      </c>
      <c r="J62" s="5">
        <v>0.98499999999999999</v>
      </c>
      <c r="K62" s="1" t="b">
        <v>1</v>
      </c>
      <c r="L62" s="1">
        <f t="shared" si="3"/>
        <v>3.1720000000000005E-2</v>
      </c>
      <c r="M62" s="1">
        <v>3.1720000000000005E-2</v>
      </c>
      <c r="N62" s="1">
        <f t="shared" si="4"/>
        <v>2.2267439999999999E-2</v>
      </c>
      <c r="O62" s="1">
        <v>2.2267439999999999E-2</v>
      </c>
      <c r="P62" s="1">
        <f t="shared" si="5"/>
        <v>0.26450000000000001</v>
      </c>
      <c r="Q62" s="1">
        <v>1</v>
      </c>
      <c r="R62" s="1">
        <v>0.23</v>
      </c>
      <c r="S62" s="1">
        <v>0.23</v>
      </c>
      <c r="T62" s="1">
        <v>2.4400000000000002E-2</v>
      </c>
      <c r="U62" s="1">
        <v>2.4400000000000002E-2</v>
      </c>
      <c r="V62" s="1">
        <v>1.71288E-2</v>
      </c>
      <c r="W62" s="1">
        <v>1.71288E-2</v>
      </c>
      <c r="X62" s="6">
        <v>8.7522637474884313E-2</v>
      </c>
      <c r="Y62" s="1" t="s">
        <v>194</v>
      </c>
      <c r="Z62" s="1" t="s">
        <v>194</v>
      </c>
      <c r="AA62" s="2">
        <v>186</v>
      </c>
      <c r="AB62" s="3">
        <v>1249</v>
      </c>
    </row>
    <row r="63" spans="1:28" x14ac:dyDescent="0.25">
      <c r="A63" s="1" t="s">
        <v>66</v>
      </c>
      <c r="B63" s="1">
        <v>3</v>
      </c>
      <c r="C63" s="1" t="s">
        <v>17</v>
      </c>
      <c r="D63" s="1" t="s">
        <v>23</v>
      </c>
      <c r="E63" s="1">
        <v>0.02</v>
      </c>
      <c r="F63" s="1">
        <v>1.2500000000000001E-2</v>
      </c>
      <c r="G63" s="1" t="s">
        <v>197</v>
      </c>
      <c r="H63" s="1">
        <v>2.0000000000000002E-5</v>
      </c>
      <c r="I63" s="1">
        <v>0.15</v>
      </c>
      <c r="J63" s="5">
        <v>0.99750000000000005</v>
      </c>
      <c r="K63" s="1" t="b">
        <v>1</v>
      </c>
      <c r="L63" s="1">
        <f t="shared" si="3"/>
        <v>3.4970000000000001E-2</v>
      </c>
      <c r="M63" s="1">
        <v>3.4970000000000001E-2</v>
      </c>
      <c r="N63" s="1">
        <f t="shared" si="4"/>
        <v>2.7276599999999998E-2</v>
      </c>
      <c r="O63" s="1">
        <v>2.7276599999999998E-2</v>
      </c>
      <c r="P63" s="1">
        <f t="shared" si="5"/>
        <v>0.26450000000000001</v>
      </c>
      <c r="Q63" s="1">
        <v>1</v>
      </c>
      <c r="R63" s="1">
        <v>0.23</v>
      </c>
      <c r="S63" s="1">
        <v>0.23</v>
      </c>
      <c r="T63" s="1">
        <v>2.69E-2</v>
      </c>
      <c r="U63" s="1">
        <v>2.69E-2</v>
      </c>
      <c r="V63" s="1">
        <v>2.0981999999999997E-2</v>
      </c>
      <c r="W63" s="1">
        <v>2.0981999999999997E-2</v>
      </c>
      <c r="X63" s="6">
        <v>8.8064198921838255E-2</v>
      </c>
      <c r="Y63" s="1" t="s">
        <v>195</v>
      </c>
      <c r="Z63" s="1" t="s">
        <v>195</v>
      </c>
      <c r="AA63" s="2">
        <v>63</v>
      </c>
      <c r="AB63" s="3">
        <v>1249</v>
      </c>
    </row>
    <row r="64" spans="1:28" x14ac:dyDescent="0.25">
      <c r="A64" s="1" t="s">
        <v>40</v>
      </c>
      <c r="B64" s="1">
        <v>8</v>
      </c>
      <c r="C64" s="1" t="s">
        <v>17</v>
      </c>
      <c r="D64" s="1" t="s">
        <v>23</v>
      </c>
      <c r="E64" s="1">
        <v>0.02</v>
      </c>
      <c r="F64" s="1">
        <v>1.2500000000000001E-2</v>
      </c>
      <c r="G64" s="1" t="s">
        <v>197</v>
      </c>
      <c r="H64" s="1">
        <v>2.0000000000000002E-5</v>
      </c>
      <c r="I64" s="1">
        <v>0.15</v>
      </c>
      <c r="J64" s="5">
        <v>0.97499999999999998</v>
      </c>
      <c r="K64" s="1" t="b">
        <v>1</v>
      </c>
      <c r="L64" s="1">
        <f t="shared" si="3"/>
        <v>3.4450000000000001E-2</v>
      </c>
      <c r="M64" s="1">
        <v>3.4450000000000001E-2</v>
      </c>
      <c r="N64" s="1">
        <f t="shared" si="4"/>
        <v>5.488579200000001E-2</v>
      </c>
      <c r="O64" s="1">
        <v>5.488579200000001E-2</v>
      </c>
      <c r="P64" s="1">
        <f t="shared" si="5"/>
        <v>0.26450000000000001</v>
      </c>
      <c r="Q64" s="1">
        <v>1</v>
      </c>
      <c r="R64" s="1">
        <v>0.23</v>
      </c>
      <c r="S64" s="1">
        <v>0.23</v>
      </c>
      <c r="T64" s="1">
        <v>2.6499999999999999E-2</v>
      </c>
      <c r="U64" s="1">
        <v>2.6499999999999999E-2</v>
      </c>
      <c r="V64" s="1">
        <v>4.2219840000000008E-2</v>
      </c>
      <c r="W64" s="1">
        <v>4.2219840000000008E-2</v>
      </c>
      <c r="X64" s="6">
        <v>6.0249359129343816E-2</v>
      </c>
      <c r="Y64" s="1" t="s">
        <v>196</v>
      </c>
      <c r="Z64" s="1" t="s">
        <v>196</v>
      </c>
      <c r="AA64" s="2">
        <v>128</v>
      </c>
      <c r="AB64" s="3">
        <v>1349</v>
      </c>
    </row>
    <row r="65" spans="1:28" x14ac:dyDescent="0.25">
      <c r="A65" s="1" t="s">
        <v>41</v>
      </c>
      <c r="B65" s="1">
        <v>12</v>
      </c>
      <c r="C65" s="1" t="s">
        <v>17</v>
      </c>
      <c r="D65" s="1" t="s">
        <v>23</v>
      </c>
      <c r="E65" s="1">
        <v>0.02</v>
      </c>
      <c r="F65" s="1">
        <v>1.2500000000000001E-2</v>
      </c>
      <c r="G65" s="1" t="s">
        <v>197</v>
      </c>
      <c r="H65" s="1">
        <v>2.0000000000000002E-5</v>
      </c>
      <c r="I65" s="1">
        <v>0.15</v>
      </c>
      <c r="J65" s="5">
        <v>0.97499999999999998</v>
      </c>
      <c r="K65" s="1" t="b">
        <v>1</v>
      </c>
      <c r="L65" s="1">
        <f t="shared" si="3"/>
        <v>5.488579200000001E-2</v>
      </c>
      <c r="M65" s="1">
        <v>5.488579200000001E-2</v>
      </c>
      <c r="N65" s="1">
        <f t="shared" si="4"/>
        <v>5.488579200000001E-2</v>
      </c>
      <c r="O65" s="1">
        <v>5.488579200000001E-2</v>
      </c>
      <c r="P65" s="1">
        <f t="shared" si="5"/>
        <v>0.26450000000000001</v>
      </c>
      <c r="Q65" s="1">
        <v>1</v>
      </c>
      <c r="R65" s="1">
        <v>0.23</v>
      </c>
      <c r="S65" s="1">
        <v>0.23</v>
      </c>
      <c r="T65" s="1">
        <v>4.2219840000000008E-2</v>
      </c>
      <c r="U65" s="1">
        <v>4.2219840000000008E-2</v>
      </c>
      <c r="V65" s="1">
        <v>4.2219840000000008E-2</v>
      </c>
      <c r="W65" s="1">
        <v>4.2219840000000008E-2</v>
      </c>
      <c r="X65" s="6">
        <v>5.1833322117508907E-2</v>
      </c>
      <c r="Y65" s="1" t="s">
        <v>193</v>
      </c>
      <c r="Z65" s="1" t="s">
        <v>193</v>
      </c>
      <c r="AA65" s="2">
        <v>132</v>
      </c>
      <c r="AB65" s="3">
        <v>1349</v>
      </c>
    </row>
    <row r="66" spans="1:28" x14ac:dyDescent="0.25">
      <c r="A66" s="1" t="s">
        <v>42</v>
      </c>
      <c r="B66" s="1">
        <v>6</v>
      </c>
      <c r="C66" s="1" t="s">
        <v>17</v>
      </c>
      <c r="D66" s="1" t="s">
        <v>23</v>
      </c>
      <c r="E66" s="1">
        <v>0.02</v>
      </c>
      <c r="F66" s="1">
        <v>1.2500000000000001E-2</v>
      </c>
      <c r="G66" s="1" t="s">
        <v>197</v>
      </c>
      <c r="H66" s="1">
        <v>2.0000000000000002E-5</v>
      </c>
      <c r="I66" s="1">
        <v>0.15</v>
      </c>
      <c r="J66" s="5">
        <v>0.98499999999999999</v>
      </c>
      <c r="K66" s="1" t="b">
        <v>1</v>
      </c>
      <c r="L66" s="1">
        <f t="shared" ref="L66:L95" si="6">T66*1.3</f>
        <v>4.8128496E-2</v>
      </c>
      <c r="M66" s="1">
        <v>4.8128496E-2</v>
      </c>
      <c r="N66" s="1">
        <f t="shared" ref="N66:N95" si="7">V66*1.3</f>
        <v>4.8128496E-2</v>
      </c>
      <c r="O66" s="1">
        <v>4.8128496E-2</v>
      </c>
      <c r="P66" s="1">
        <f t="shared" ref="P66:P95" si="8">R66*1.15</f>
        <v>0.26450000000000001</v>
      </c>
      <c r="Q66" s="1">
        <v>1</v>
      </c>
      <c r="R66" s="1">
        <v>0.23</v>
      </c>
      <c r="S66" s="1">
        <v>0.23</v>
      </c>
      <c r="T66" s="1">
        <v>3.702192E-2</v>
      </c>
      <c r="U66" s="1">
        <v>3.702192E-2</v>
      </c>
      <c r="V66" s="1">
        <v>3.702192E-2</v>
      </c>
      <c r="W66" s="1">
        <v>3.702192E-2</v>
      </c>
      <c r="X66" s="6">
        <v>7.8291412166770158E-2</v>
      </c>
      <c r="Y66" s="1" t="s">
        <v>194</v>
      </c>
      <c r="Z66" s="1" t="s">
        <v>194</v>
      </c>
      <c r="AA66" s="2">
        <v>186</v>
      </c>
      <c r="AB66" s="3">
        <v>1349</v>
      </c>
    </row>
    <row r="67" spans="1:28" x14ac:dyDescent="0.25">
      <c r="A67" s="1" t="s">
        <v>43</v>
      </c>
      <c r="B67" s="1">
        <v>3</v>
      </c>
      <c r="C67" s="1" t="s">
        <v>17</v>
      </c>
      <c r="D67" s="1" t="s">
        <v>23</v>
      </c>
      <c r="E67" s="1">
        <v>0.02</v>
      </c>
      <c r="F67" s="1">
        <v>1.2500000000000001E-2</v>
      </c>
      <c r="G67" s="1" t="s">
        <v>197</v>
      </c>
      <c r="H67" s="1">
        <v>2.0000000000000002E-5</v>
      </c>
      <c r="I67" s="1">
        <v>0.15</v>
      </c>
      <c r="J67" s="5">
        <v>0.99750000000000005</v>
      </c>
      <c r="K67" s="1" t="b">
        <v>1</v>
      </c>
      <c r="L67" s="1">
        <f t="shared" si="6"/>
        <v>5.7643872000000006E-2</v>
      </c>
      <c r="M67" s="1">
        <v>5.7643872000000006E-2</v>
      </c>
      <c r="N67" s="1">
        <f t="shared" si="7"/>
        <v>5.7643872000000006E-2</v>
      </c>
      <c r="O67" s="1">
        <v>5.7643872000000006E-2</v>
      </c>
      <c r="P67" s="1">
        <f t="shared" si="8"/>
        <v>0.26450000000000001</v>
      </c>
      <c r="Q67" s="1">
        <v>1</v>
      </c>
      <c r="R67" s="1">
        <v>0.23</v>
      </c>
      <c r="S67" s="1">
        <v>0.23</v>
      </c>
      <c r="T67" s="1">
        <v>4.4341440000000003E-2</v>
      </c>
      <c r="U67" s="1">
        <v>4.4341440000000003E-2</v>
      </c>
      <c r="V67" s="1">
        <v>4.4341440000000003E-2</v>
      </c>
      <c r="W67" s="1">
        <v>4.4341440000000003E-2</v>
      </c>
      <c r="X67" s="6">
        <v>7.5940042614292658E-2</v>
      </c>
      <c r="Y67" s="1" t="s">
        <v>195</v>
      </c>
      <c r="Z67" s="1" t="s">
        <v>195</v>
      </c>
      <c r="AA67" s="2">
        <v>63</v>
      </c>
      <c r="AB67" s="3">
        <v>1349</v>
      </c>
    </row>
    <row r="68" spans="1:28" x14ac:dyDescent="0.25">
      <c r="A68" s="1" t="s">
        <v>18</v>
      </c>
      <c r="B68" s="1">
        <v>0</v>
      </c>
      <c r="C68" s="1" t="s">
        <v>17</v>
      </c>
      <c r="D68" s="1" t="s">
        <v>23</v>
      </c>
      <c r="E68" s="1">
        <v>0.02</v>
      </c>
      <c r="F68" s="1">
        <v>1.2500000000000001E-2</v>
      </c>
      <c r="G68" s="1" t="s">
        <v>198</v>
      </c>
      <c r="H68" s="1">
        <v>2.0000000000000002E-5</v>
      </c>
      <c r="I68" s="1">
        <v>0.15</v>
      </c>
      <c r="J68" s="5">
        <v>0.96250000000000002</v>
      </c>
      <c r="K68" s="1" t="b">
        <v>1</v>
      </c>
      <c r="L68" s="1">
        <f t="shared" si="6"/>
        <v>0</v>
      </c>
      <c r="M68" s="1">
        <v>0</v>
      </c>
      <c r="N68" s="1">
        <f t="shared" si="7"/>
        <v>0.12532000000000001</v>
      </c>
      <c r="O68" s="1">
        <v>0.12532000000000001</v>
      </c>
      <c r="P68" s="1">
        <f t="shared" si="8"/>
        <v>0.18745000000000001</v>
      </c>
      <c r="Q68" s="1">
        <v>1</v>
      </c>
      <c r="R68" s="1">
        <v>0.16300000000000001</v>
      </c>
      <c r="S68" s="1">
        <v>0.16300000000000001</v>
      </c>
      <c r="T68" s="1">
        <v>0</v>
      </c>
      <c r="U68" s="1">
        <v>0</v>
      </c>
      <c r="V68" s="1">
        <v>9.64E-2</v>
      </c>
      <c r="W68" s="1">
        <v>9.64E-2</v>
      </c>
      <c r="X68" s="6">
        <v>6.5834671930558031E-2</v>
      </c>
      <c r="Y68" s="1">
        <v>0</v>
      </c>
      <c r="Z68" s="1">
        <v>0</v>
      </c>
      <c r="AA68" s="2">
        <v>120</v>
      </c>
      <c r="AB68" s="3">
        <v>1390.0000000000002</v>
      </c>
    </row>
    <row r="69" spans="1:28" x14ac:dyDescent="0.25">
      <c r="A69" s="1" t="s">
        <v>44</v>
      </c>
      <c r="B69" s="1">
        <v>12</v>
      </c>
      <c r="C69" s="1" t="s">
        <v>17</v>
      </c>
      <c r="D69" s="1" t="s">
        <v>23</v>
      </c>
      <c r="E69" s="1">
        <v>0.02</v>
      </c>
      <c r="F69" s="1">
        <v>1.2500000000000001E-2</v>
      </c>
      <c r="G69" s="1" t="s">
        <v>197</v>
      </c>
      <c r="H69" s="1">
        <v>2.0000000000000002E-5</v>
      </c>
      <c r="I69" s="1">
        <v>0.15</v>
      </c>
      <c r="J69" s="5">
        <v>0.97499999999999998</v>
      </c>
      <c r="K69" s="1" t="b">
        <v>1</v>
      </c>
      <c r="L69" s="1">
        <f t="shared" si="6"/>
        <v>5.488579200000001E-2</v>
      </c>
      <c r="M69" s="1">
        <v>5.488579200000001E-2</v>
      </c>
      <c r="N69" s="1">
        <f t="shared" si="7"/>
        <v>5.488579200000001E-2</v>
      </c>
      <c r="O69" s="1">
        <v>5.488579200000001E-2</v>
      </c>
      <c r="P69" s="1">
        <f t="shared" si="8"/>
        <v>0.26450000000000001</v>
      </c>
      <c r="Q69" s="1">
        <v>1</v>
      </c>
      <c r="R69" s="1">
        <v>0.23</v>
      </c>
      <c r="S69" s="1">
        <v>0.23</v>
      </c>
      <c r="T69" s="1">
        <v>4.2219840000000008E-2</v>
      </c>
      <c r="U69" s="1">
        <v>4.2219840000000008E-2</v>
      </c>
      <c r="V69" s="1">
        <v>4.2219840000000008E-2</v>
      </c>
      <c r="W69" s="1">
        <v>4.2219840000000008E-2</v>
      </c>
      <c r="X69" s="6">
        <v>5.4510889589344913E-2</v>
      </c>
      <c r="Y69" s="1" t="s">
        <v>193</v>
      </c>
      <c r="Z69" s="1" t="s">
        <v>193</v>
      </c>
      <c r="AA69" s="2">
        <v>132</v>
      </c>
      <c r="AB69" s="3">
        <v>1399</v>
      </c>
    </row>
    <row r="70" spans="1:28" x14ac:dyDescent="0.25">
      <c r="A70" s="1" t="s">
        <v>45</v>
      </c>
      <c r="B70" s="1">
        <v>6</v>
      </c>
      <c r="C70" s="1" t="s">
        <v>17</v>
      </c>
      <c r="D70" s="1" t="s">
        <v>23</v>
      </c>
      <c r="E70" s="1">
        <v>0.02</v>
      </c>
      <c r="F70" s="1">
        <v>1.2500000000000001E-2</v>
      </c>
      <c r="G70" s="1" t="s">
        <v>197</v>
      </c>
      <c r="H70" s="1">
        <v>2.0000000000000002E-5</v>
      </c>
      <c r="I70" s="1">
        <v>0.15</v>
      </c>
      <c r="J70" s="5">
        <v>0.98499999999999999</v>
      </c>
      <c r="K70" s="1" t="b">
        <v>1</v>
      </c>
      <c r="L70" s="1">
        <f t="shared" si="6"/>
        <v>4.8128496E-2</v>
      </c>
      <c r="M70" s="1">
        <v>4.8128496E-2</v>
      </c>
      <c r="N70" s="1">
        <f t="shared" si="7"/>
        <v>4.8128496E-2</v>
      </c>
      <c r="O70" s="1">
        <v>4.8128496E-2</v>
      </c>
      <c r="P70" s="1">
        <f t="shared" si="8"/>
        <v>0.26450000000000001</v>
      </c>
      <c r="Q70" s="1">
        <v>1</v>
      </c>
      <c r="R70" s="1">
        <v>0.23</v>
      </c>
      <c r="S70" s="1">
        <v>0.23</v>
      </c>
      <c r="T70" s="1">
        <v>3.702192E-2</v>
      </c>
      <c r="U70" s="1">
        <v>3.702192E-2</v>
      </c>
      <c r="V70" s="1">
        <v>3.702192E-2</v>
      </c>
      <c r="W70" s="1">
        <v>3.702192E-2</v>
      </c>
      <c r="X70" s="6">
        <v>8.1951747688615129E-2</v>
      </c>
      <c r="Y70" s="1" t="s">
        <v>194</v>
      </c>
      <c r="Z70" s="1" t="s">
        <v>194</v>
      </c>
      <c r="AA70" s="2">
        <v>186</v>
      </c>
      <c r="AB70" s="3">
        <v>1399</v>
      </c>
    </row>
    <row r="71" spans="1:28" x14ac:dyDescent="0.25">
      <c r="A71" s="1" t="s">
        <v>46</v>
      </c>
      <c r="B71" s="1">
        <v>3</v>
      </c>
      <c r="C71" s="1" t="s">
        <v>17</v>
      </c>
      <c r="D71" s="1" t="s">
        <v>23</v>
      </c>
      <c r="E71" s="1">
        <v>0.02</v>
      </c>
      <c r="F71" s="1">
        <v>1.2500000000000001E-2</v>
      </c>
      <c r="G71" s="1" t="s">
        <v>197</v>
      </c>
      <c r="H71" s="1">
        <v>2.0000000000000002E-5</v>
      </c>
      <c r="I71" s="1">
        <v>0.15</v>
      </c>
      <c r="J71" s="5">
        <v>0.99750000000000005</v>
      </c>
      <c r="K71" s="1" t="b">
        <v>1</v>
      </c>
      <c r="L71" s="1">
        <f t="shared" si="6"/>
        <v>5.7643872000000006E-2</v>
      </c>
      <c r="M71" s="1">
        <v>5.7643872000000006E-2</v>
      </c>
      <c r="N71" s="1">
        <f t="shared" si="7"/>
        <v>5.7643872000000006E-2</v>
      </c>
      <c r="O71" s="1">
        <v>5.7643872000000006E-2</v>
      </c>
      <c r="P71" s="1">
        <f t="shared" si="8"/>
        <v>0.26450000000000001</v>
      </c>
      <c r="Q71" s="1">
        <v>1</v>
      </c>
      <c r="R71" s="1">
        <v>0.23</v>
      </c>
      <c r="S71" s="1">
        <v>0.23</v>
      </c>
      <c r="T71" s="1">
        <v>4.4341440000000003E-2</v>
      </c>
      <c r="U71" s="1">
        <v>4.4341440000000003E-2</v>
      </c>
      <c r="V71" s="1">
        <v>4.4341440000000003E-2</v>
      </c>
      <c r="W71" s="1">
        <v>4.4341440000000003E-2</v>
      </c>
      <c r="X71" s="6">
        <v>8.0055138476727628E-2</v>
      </c>
      <c r="Y71" s="1" t="s">
        <v>195</v>
      </c>
      <c r="Z71" s="1" t="s">
        <v>195</v>
      </c>
      <c r="AA71" s="2">
        <v>63</v>
      </c>
      <c r="AB71" s="3">
        <v>1399</v>
      </c>
    </row>
    <row r="72" spans="1:28" x14ac:dyDescent="0.25">
      <c r="A72" s="1" t="s">
        <v>63</v>
      </c>
      <c r="B72" s="1">
        <v>0</v>
      </c>
      <c r="C72" s="1" t="s">
        <v>17</v>
      </c>
      <c r="D72" s="1" t="s">
        <v>208</v>
      </c>
      <c r="E72" s="1">
        <v>0.02</v>
      </c>
      <c r="F72" s="1">
        <v>1.2500000000000001E-2</v>
      </c>
      <c r="G72" s="1" t="s">
        <v>200</v>
      </c>
      <c r="H72" s="1">
        <v>2.0000000000000002E-5</v>
      </c>
      <c r="I72" s="1">
        <v>0.15</v>
      </c>
      <c r="J72" s="5">
        <v>0.96250000000000002</v>
      </c>
      <c r="K72" s="1" t="b">
        <v>1</v>
      </c>
      <c r="L72" s="1">
        <f t="shared" si="6"/>
        <v>0</v>
      </c>
      <c r="M72" s="1">
        <v>0</v>
      </c>
      <c r="N72" s="1">
        <f t="shared" si="7"/>
        <v>0.12532000000000001</v>
      </c>
      <c r="O72" s="1">
        <v>0.12532000000000001</v>
      </c>
      <c r="P72" s="1">
        <f t="shared" si="8"/>
        <v>0.18745000000000001</v>
      </c>
      <c r="Q72" s="1">
        <v>1</v>
      </c>
      <c r="R72" s="1">
        <v>0.16300000000000001</v>
      </c>
      <c r="S72" s="1">
        <v>0.16300000000000001</v>
      </c>
      <c r="T72" s="1">
        <v>0</v>
      </c>
      <c r="U72" s="1">
        <v>0</v>
      </c>
      <c r="V72" s="1">
        <v>9.64E-2</v>
      </c>
      <c r="W72" s="1">
        <v>9.64E-2</v>
      </c>
      <c r="X72" s="6">
        <v>5.0693987965075848E-2</v>
      </c>
      <c r="Y72" s="1">
        <v>0</v>
      </c>
      <c r="Z72" s="1">
        <v>0</v>
      </c>
      <c r="AA72" s="2">
        <v>120</v>
      </c>
      <c r="AB72" s="3">
        <v>1440</v>
      </c>
    </row>
    <row r="73" spans="1:28" x14ac:dyDescent="0.25">
      <c r="A73" s="1" t="s">
        <v>47</v>
      </c>
      <c r="B73" s="1">
        <v>12</v>
      </c>
      <c r="C73" s="1" t="s">
        <v>17</v>
      </c>
      <c r="D73" s="1" t="s">
        <v>23</v>
      </c>
      <c r="E73" s="1">
        <v>0.02</v>
      </c>
      <c r="F73" s="1">
        <v>1.2500000000000001E-2</v>
      </c>
      <c r="G73" s="1" t="s">
        <v>197</v>
      </c>
      <c r="H73" s="1">
        <v>2.0000000000000002E-5</v>
      </c>
      <c r="I73" s="1">
        <v>0.15</v>
      </c>
      <c r="J73" s="5">
        <v>0.97499999999999998</v>
      </c>
      <c r="K73" s="1" t="b">
        <v>1</v>
      </c>
      <c r="L73" s="1">
        <f t="shared" si="6"/>
        <v>5.1740000000000001E-2</v>
      </c>
      <c r="M73" s="1">
        <v>5.1740000000000001E-2</v>
      </c>
      <c r="N73" s="1">
        <f t="shared" si="7"/>
        <v>5.488579200000001E-2</v>
      </c>
      <c r="O73" s="1">
        <v>5.488579200000001E-2</v>
      </c>
      <c r="P73" s="1">
        <f t="shared" si="8"/>
        <v>0.26450000000000001</v>
      </c>
      <c r="Q73" s="1">
        <v>1</v>
      </c>
      <c r="R73" s="1">
        <v>0.23</v>
      </c>
      <c r="S73" s="1">
        <v>0.23</v>
      </c>
      <c r="T73" s="1">
        <v>3.9800000000000002E-2</v>
      </c>
      <c r="U73" s="1">
        <v>3.9800000000000002E-2</v>
      </c>
      <c r="V73" s="1">
        <v>4.2219840000000008E-2</v>
      </c>
      <c r="W73" s="1">
        <v>4.2219840000000008E-2</v>
      </c>
      <c r="X73" s="6">
        <v>5.8137248365740746E-2</v>
      </c>
      <c r="Y73" s="1" t="s">
        <v>193</v>
      </c>
      <c r="Z73" s="1" t="s">
        <v>193</v>
      </c>
      <c r="AA73" s="2">
        <v>132</v>
      </c>
      <c r="AB73" s="3">
        <v>1449</v>
      </c>
    </row>
    <row r="74" spans="1:28" ht="11.1" customHeight="1" x14ac:dyDescent="0.25">
      <c r="A74" s="1" t="s">
        <v>69</v>
      </c>
      <c r="B74" s="1">
        <v>6</v>
      </c>
      <c r="C74" s="1" t="s">
        <v>17</v>
      </c>
      <c r="D74" s="1" t="s">
        <v>23</v>
      </c>
      <c r="E74" s="1">
        <v>0.02</v>
      </c>
      <c r="F74" s="1">
        <v>1.2500000000000001E-2</v>
      </c>
      <c r="G74" s="1" t="s">
        <v>197</v>
      </c>
      <c r="H74" s="1">
        <v>2.0000000000000002E-5</v>
      </c>
      <c r="I74" s="1">
        <v>0.15</v>
      </c>
      <c r="J74" s="5">
        <v>0.98499999999999999</v>
      </c>
      <c r="K74" s="1" t="b">
        <v>1</v>
      </c>
      <c r="L74" s="1">
        <f t="shared" si="6"/>
        <v>4.5370000000000001E-2</v>
      </c>
      <c r="M74" s="1">
        <v>4.5370000000000001E-2</v>
      </c>
      <c r="N74" s="1">
        <f t="shared" si="7"/>
        <v>4.8128496E-2</v>
      </c>
      <c r="O74" s="1">
        <v>4.8128496E-2</v>
      </c>
      <c r="P74" s="1">
        <f t="shared" si="8"/>
        <v>0.26450000000000001</v>
      </c>
      <c r="Q74" s="1">
        <v>1</v>
      </c>
      <c r="R74" s="1">
        <v>0.23</v>
      </c>
      <c r="S74" s="1">
        <v>0.23</v>
      </c>
      <c r="T74" s="1">
        <v>3.49E-2</v>
      </c>
      <c r="U74" s="1">
        <v>3.49E-2</v>
      </c>
      <c r="V74" s="1">
        <v>3.702192E-2</v>
      </c>
      <c r="W74" s="1">
        <v>3.702192E-2</v>
      </c>
      <c r="X74" s="6">
        <v>8.604695129906581E-2</v>
      </c>
      <c r="Y74" s="1" t="s">
        <v>194</v>
      </c>
      <c r="Z74" s="1" t="s">
        <v>194</v>
      </c>
      <c r="AA74" s="2">
        <v>186</v>
      </c>
      <c r="AB74" s="3">
        <v>1449</v>
      </c>
    </row>
    <row r="75" spans="1:28" x14ac:dyDescent="0.25">
      <c r="A75" s="1" t="s">
        <v>65</v>
      </c>
      <c r="B75" s="1">
        <v>3</v>
      </c>
      <c r="C75" s="1" t="s">
        <v>17</v>
      </c>
      <c r="D75" s="1" t="s">
        <v>23</v>
      </c>
      <c r="E75" s="1">
        <v>0.02</v>
      </c>
      <c r="F75" s="1">
        <v>1.2500000000000001E-2</v>
      </c>
      <c r="G75" s="1" t="s">
        <v>197</v>
      </c>
      <c r="H75" s="1">
        <v>2.0000000000000002E-5</v>
      </c>
      <c r="I75" s="1">
        <v>0.15</v>
      </c>
      <c r="J75" s="5">
        <v>0.99750000000000005</v>
      </c>
      <c r="K75" s="1" t="b">
        <v>1</v>
      </c>
      <c r="L75" s="1">
        <f t="shared" si="6"/>
        <v>5.4339999999999999E-2</v>
      </c>
      <c r="M75" s="1">
        <v>5.4339999999999999E-2</v>
      </c>
      <c r="N75" s="1">
        <f t="shared" si="7"/>
        <v>5.7643872000000006E-2</v>
      </c>
      <c r="O75" s="1">
        <v>5.7643872000000006E-2</v>
      </c>
      <c r="P75" s="1">
        <f t="shared" si="8"/>
        <v>0.26450000000000001</v>
      </c>
      <c r="Q75" s="1">
        <v>1</v>
      </c>
      <c r="R75" s="1">
        <v>0.23</v>
      </c>
      <c r="S75" s="1">
        <v>0.23</v>
      </c>
      <c r="T75" s="1">
        <v>4.1799999999999997E-2</v>
      </c>
      <c r="U75" s="1">
        <v>4.1799999999999997E-2</v>
      </c>
      <c r="V75" s="1">
        <v>4.4341440000000003E-2</v>
      </c>
      <c r="W75" s="1">
        <v>4.4341440000000003E-2</v>
      </c>
      <c r="X75" s="6">
        <v>8.4518153718173394E-2</v>
      </c>
      <c r="Y75" s="1" t="s">
        <v>195</v>
      </c>
      <c r="Z75" s="1" t="s">
        <v>195</v>
      </c>
      <c r="AA75" s="2">
        <v>63</v>
      </c>
      <c r="AB75" s="3">
        <v>1449</v>
      </c>
    </row>
    <row r="76" spans="1:28" x14ac:dyDescent="0.25">
      <c r="A76" s="1" t="s">
        <v>19</v>
      </c>
      <c r="B76" s="1">
        <v>0</v>
      </c>
      <c r="C76" s="1" t="s">
        <v>17</v>
      </c>
      <c r="D76" s="1" t="s">
        <v>208</v>
      </c>
      <c r="E76" s="1">
        <v>0.02</v>
      </c>
      <c r="F76" s="1">
        <v>1.2500000000000001E-2</v>
      </c>
      <c r="G76" s="1" t="s">
        <v>200</v>
      </c>
      <c r="H76" s="1">
        <v>2.0000000000000002E-5</v>
      </c>
      <c r="I76" s="1">
        <v>0.15</v>
      </c>
      <c r="J76" s="5">
        <v>0.96250000000000002</v>
      </c>
      <c r="K76" s="1" t="b">
        <v>1</v>
      </c>
      <c r="L76" s="1">
        <f t="shared" si="6"/>
        <v>0</v>
      </c>
      <c r="M76" s="1">
        <v>0</v>
      </c>
      <c r="N76" s="1">
        <f t="shared" si="7"/>
        <v>0.12532000000000001</v>
      </c>
      <c r="O76" s="1">
        <v>0.12532000000000001</v>
      </c>
      <c r="P76" s="1">
        <f t="shared" si="8"/>
        <v>0.18745000000000001</v>
      </c>
      <c r="Q76" s="1">
        <v>1</v>
      </c>
      <c r="R76" s="1">
        <v>0.16300000000000001</v>
      </c>
      <c r="S76" s="1">
        <v>0.16300000000000001</v>
      </c>
      <c r="T76" s="1">
        <v>0</v>
      </c>
      <c r="U76" s="1">
        <v>0</v>
      </c>
      <c r="V76" s="1">
        <v>9.64E-2</v>
      </c>
      <c r="W76" s="1">
        <v>9.64E-2</v>
      </c>
      <c r="X76" s="6">
        <v>7.5692744295664305E-2</v>
      </c>
      <c r="Y76" s="1">
        <v>0</v>
      </c>
      <c r="Z76" s="1">
        <v>0</v>
      </c>
      <c r="AA76" s="2">
        <v>120</v>
      </c>
      <c r="AB76" s="3">
        <v>1490</v>
      </c>
    </row>
    <row r="77" spans="1:28" x14ac:dyDescent="0.25">
      <c r="A77" s="1" t="s">
        <v>48</v>
      </c>
      <c r="B77" s="1">
        <v>0</v>
      </c>
      <c r="C77" s="1" t="s">
        <v>17</v>
      </c>
      <c r="D77" s="1" t="s">
        <v>23</v>
      </c>
      <c r="E77" s="1">
        <v>0.02</v>
      </c>
      <c r="F77" s="1">
        <v>1.2500000000000001E-2</v>
      </c>
      <c r="G77" s="1" t="s">
        <v>198</v>
      </c>
      <c r="H77" s="1">
        <v>2.0000000000000002E-5</v>
      </c>
      <c r="I77" s="1">
        <v>0.15</v>
      </c>
      <c r="J77" s="5">
        <v>0.92249999999999999</v>
      </c>
      <c r="K77" s="1" t="b">
        <v>1</v>
      </c>
      <c r="L77" s="1">
        <f t="shared" si="6"/>
        <v>0</v>
      </c>
      <c r="M77" s="1">
        <v>0</v>
      </c>
      <c r="N77" s="1">
        <f t="shared" si="7"/>
        <v>4.1600000000000005E-2</v>
      </c>
      <c r="O77" s="1">
        <v>4.1600000000000005E-2</v>
      </c>
      <c r="P77" s="1">
        <f t="shared" si="8"/>
        <v>0.11499999999999999</v>
      </c>
      <c r="Q77" s="1">
        <v>1</v>
      </c>
      <c r="R77" s="1">
        <v>0.1</v>
      </c>
      <c r="S77" s="1">
        <v>0.1</v>
      </c>
      <c r="T77" s="1">
        <v>0</v>
      </c>
      <c r="U77" s="1">
        <v>0</v>
      </c>
      <c r="V77" s="1">
        <v>3.2000000000000001E-2</v>
      </c>
      <c r="W77" s="1">
        <v>3.2000000000000001E-2</v>
      </c>
      <c r="X77" s="6">
        <v>3.029317967963685E-2</v>
      </c>
      <c r="Y77" s="1">
        <v>0</v>
      </c>
      <c r="Z77" s="1">
        <v>0</v>
      </c>
      <c r="AA77" s="2">
        <v>60</v>
      </c>
      <c r="AB77" s="3">
        <v>399</v>
      </c>
    </row>
    <row r="78" spans="1:28" x14ac:dyDescent="0.25">
      <c r="A78" s="1" t="s">
        <v>49</v>
      </c>
      <c r="B78" s="1">
        <v>0</v>
      </c>
      <c r="C78" s="1" t="s">
        <v>17</v>
      </c>
      <c r="D78" s="1" t="s">
        <v>23</v>
      </c>
      <c r="E78" s="1">
        <v>0.02</v>
      </c>
      <c r="F78" s="1">
        <v>1.2500000000000001E-2</v>
      </c>
      <c r="G78" s="1" t="s">
        <v>198</v>
      </c>
      <c r="H78" s="1">
        <v>2.0000000000000002E-5</v>
      </c>
      <c r="I78" s="1">
        <v>0.15</v>
      </c>
      <c r="J78" s="5">
        <v>0.91249999999999998</v>
      </c>
      <c r="K78" s="1" t="b">
        <v>1</v>
      </c>
      <c r="L78" s="1">
        <f t="shared" si="6"/>
        <v>0</v>
      </c>
      <c r="M78" s="1">
        <v>0</v>
      </c>
      <c r="N78" s="1">
        <f t="shared" si="7"/>
        <v>4.1600000000000005E-2</v>
      </c>
      <c r="O78" s="1">
        <v>4.1600000000000005E-2</v>
      </c>
      <c r="P78" s="1">
        <f t="shared" si="8"/>
        <v>0.11499999999999999</v>
      </c>
      <c r="Q78" s="1">
        <v>1</v>
      </c>
      <c r="R78" s="1">
        <v>0.1</v>
      </c>
      <c r="S78" s="1">
        <v>0.1</v>
      </c>
      <c r="T78" s="1">
        <v>0</v>
      </c>
      <c r="U78" s="1">
        <v>0</v>
      </c>
      <c r="V78" s="1">
        <v>3.2000000000000001E-2</v>
      </c>
      <c r="W78" s="1">
        <v>3.2000000000000001E-2</v>
      </c>
      <c r="X78" s="6">
        <v>2.5515494840785635E-2</v>
      </c>
      <c r="Y78" s="1">
        <v>0</v>
      </c>
      <c r="Z78" s="1">
        <v>0</v>
      </c>
      <c r="AA78" s="2">
        <v>84</v>
      </c>
      <c r="AB78" s="3">
        <v>399</v>
      </c>
    </row>
    <row r="79" spans="1:28" x14ac:dyDescent="0.25">
      <c r="A79" s="1" t="s">
        <v>50</v>
      </c>
      <c r="B79" s="1">
        <v>12</v>
      </c>
      <c r="C79" s="1" t="s">
        <v>17</v>
      </c>
      <c r="D79" s="1" t="s">
        <v>23</v>
      </c>
      <c r="E79" s="1">
        <v>0.02</v>
      </c>
      <c r="F79" s="1">
        <v>1.2500000000000001E-2</v>
      </c>
      <c r="G79" s="1" t="s">
        <v>197</v>
      </c>
      <c r="H79" s="1">
        <v>2.0000000000000002E-5</v>
      </c>
      <c r="I79" s="1">
        <v>0.15</v>
      </c>
      <c r="J79" s="5">
        <v>0.97499999999999998</v>
      </c>
      <c r="K79" s="1" t="b">
        <v>1</v>
      </c>
      <c r="L79" s="1">
        <f t="shared" si="6"/>
        <v>7.5399999999999998E-3</v>
      </c>
      <c r="M79" s="1">
        <v>7.5399999999999998E-3</v>
      </c>
      <c r="N79" s="1">
        <f t="shared" si="7"/>
        <v>1.3986030451783192E-2</v>
      </c>
      <c r="O79" s="1">
        <v>1.3986030451783192E-2</v>
      </c>
      <c r="P79" s="1">
        <f t="shared" si="8"/>
        <v>0.26450000000000001</v>
      </c>
      <c r="Q79" s="1">
        <v>1</v>
      </c>
      <c r="R79" s="1">
        <v>0.23</v>
      </c>
      <c r="S79" s="1">
        <v>0.23</v>
      </c>
      <c r="T79" s="1">
        <v>5.7999999999999996E-3</v>
      </c>
      <c r="U79" s="1">
        <v>5.7999999999999996E-3</v>
      </c>
      <c r="V79" s="1">
        <v>1.0758484962910148E-2</v>
      </c>
      <c r="W79" s="1">
        <v>1.0758484962910148E-2</v>
      </c>
      <c r="X79" s="6">
        <v>4.3008321682507678E-2</v>
      </c>
      <c r="Y79" s="1" t="s">
        <v>193</v>
      </c>
      <c r="Z79" s="1" t="s">
        <v>193</v>
      </c>
      <c r="AA79" s="2">
        <v>132</v>
      </c>
      <c r="AB79" s="3">
        <v>649</v>
      </c>
    </row>
    <row r="80" spans="1:28" x14ac:dyDescent="0.25">
      <c r="A80" s="1" t="s">
        <v>51</v>
      </c>
      <c r="B80" s="1">
        <v>6</v>
      </c>
      <c r="C80" s="1" t="s">
        <v>17</v>
      </c>
      <c r="D80" s="1" t="s">
        <v>23</v>
      </c>
      <c r="E80" s="1">
        <v>0.02</v>
      </c>
      <c r="F80" s="1">
        <v>1.2500000000000001E-2</v>
      </c>
      <c r="G80" s="1" t="s">
        <v>197</v>
      </c>
      <c r="H80" s="1">
        <v>2.0000000000000002E-5</v>
      </c>
      <c r="I80" s="1">
        <v>0.15</v>
      </c>
      <c r="J80" s="5">
        <v>0.98499999999999999</v>
      </c>
      <c r="K80" s="1" t="b">
        <v>1</v>
      </c>
      <c r="L80" s="1">
        <f t="shared" si="6"/>
        <v>1.2253175999999999E-2</v>
      </c>
      <c r="M80" s="1">
        <v>1.2253175999999999E-2</v>
      </c>
      <c r="N80" s="1">
        <f t="shared" si="7"/>
        <v>1.2253175999999999E-2</v>
      </c>
      <c r="O80" s="1">
        <v>1.2253175999999999E-2</v>
      </c>
      <c r="P80" s="1">
        <f t="shared" si="8"/>
        <v>0.26450000000000001</v>
      </c>
      <c r="Q80" s="1">
        <v>1</v>
      </c>
      <c r="R80" s="1">
        <v>0.23</v>
      </c>
      <c r="S80" s="1">
        <v>0.23</v>
      </c>
      <c r="T80" s="1">
        <v>9.4255199999999997E-3</v>
      </c>
      <c r="U80" s="1">
        <v>9.4255199999999997E-3</v>
      </c>
      <c r="V80" s="1">
        <v>9.4255199999999997E-3</v>
      </c>
      <c r="W80" s="1">
        <v>9.4255199999999997E-3</v>
      </c>
      <c r="X80" s="6">
        <v>5.0167018721524848E-2</v>
      </c>
      <c r="Y80" s="1" t="s">
        <v>194</v>
      </c>
      <c r="Z80" s="1" t="s">
        <v>194</v>
      </c>
      <c r="AA80" s="2">
        <v>186</v>
      </c>
      <c r="AB80" s="3">
        <v>649</v>
      </c>
    </row>
    <row r="81" spans="1:28" x14ac:dyDescent="0.25">
      <c r="A81" s="1" t="s">
        <v>52</v>
      </c>
      <c r="B81" s="1">
        <v>6</v>
      </c>
      <c r="C81" s="1" t="s">
        <v>17</v>
      </c>
      <c r="D81" s="1" t="s">
        <v>23</v>
      </c>
      <c r="E81" s="1">
        <v>0.02</v>
      </c>
      <c r="F81" s="1">
        <v>1.2500000000000001E-2</v>
      </c>
      <c r="G81" s="1" t="s">
        <v>197</v>
      </c>
      <c r="H81" s="1">
        <v>2.0000000000000002E-5</v>
      </c>
      <c r="I81" s="1">
        <v>0.15</v>
      </c>
      <c r="J81" s="5">
        <v>0.98499999999999999</v>
      </c>
      <c r="K81" s="1" t="b">
        <v>1</v>
      </c>
      <c r="L81" s="1">
        <f t="shared" si="6"/>
        <v>1.2253175999999999E-2</v>
      </c>
      <c r="M81" s="1">
        <v>1.2253175999999999E-2</v>
      </c>
      <c r="N81" s="1">
        <f t="shared" si="7"/>
        <v>1.2253175999999999E-2</v>
      </c>
      <c r="O81" s="1">
        <v>1.2253175999999999E-2</v>
      </c>
      <c r="P81" s="1">
        <f t="shared" si="8"/>
        <v>0.26450000000000001</v>
      </c>
      <c r="Q81" s="1">
        <v>1</v>
      </c>
      <c r="R81" s="1">
        <v>0.23</v>
      </c>
      <c r="S81" s="1">
        <v>0.23</v>
      </c>
      <c r="T81" s="1">
        <v>9.4255199999999997E-3</v>
      </c>
      <c r="U81" s="1">
        <v>9.4255199999999997E-3</v>
      </c>
      <c r="V81" s="1">
        <v>9.4255199999999997E-3</v>
      </c>
      <c r="W81" s="1">
        <v>9.4255199999999997E-3</v>
      </c>
      <c r="X81" s="6">
        <v>5.4046358646195891E-2</v>
      </c>
      <c r="Y81" s="1" t="s">
        <v>194</v>
      </c>
      <c r="Z81" s="1" t="s">
        <v>194</v>
      </c>
      <c r="AA81" s="2">
        <v>186</v>
      </c>
      <c r="AB81" s="3">
        <v>699</v>
      </c>
    </row>
    <row r="82" spans="1:28" x14ac:dyDescent="0.25">
      <c r="A82" s="1" t="s">
        <v>67</v>
      </c>
      <c r="B82" s="1">
        <v>6</v>
      </c>
      <c r="C82" s="1" t="s">
        <v>17</v>
      </c>
      <c r="D82" s="1" t="s">
        <v>23</v>
      </c>
      <c r="E82" s="1">
        <v>0.02</v>
      </c>
      <c r="F82" s="1">
        <v>1.2500000000000001E-2</v>
      </c>
      <c r="G82" s="1" t="s">
        <v>197</v>
      </c>
      <c r="H82" s="1">
        <v>2.0000000000000002E-5</v>
      </c>
      <c r="I82" s="1">
        <v>0.15</v>
      </c>
      <c r="J82" s="5">
        <v>0.98499999999999999</v>
      </c>
      <c r="K82" s="1" t="b">
        <v>1</v>
      </c>
      <c r="L82" s="1">
        <f t="shared" si="6"/>
        <v>6.8900000000000003E-3</v>
      </c>
      <c r="M82" s="1">
        <v>6.8900000000000003E-3</v>
      </c>
      <c r="N82" s="1">
        <f t="shared" si="7"/>
        <v>1.2253175999999999E-2</v>
      </c>
      <c r="O82" s="1">
        <v>1.2253175999999999E-2</v>
      </c>
      <c r="P82" s="1">
        <f t="shared" si="8"/>
        <v>0.26450000000000001</v>
      </c>
      <c r="Q82" s="1">
        <v>1</v>
      </c>
      <c r="R82" s="1">
        <v>0.23</v>
      </c>
      <c r="S82" s="1">
        <v>0.23</v>
      </c>
      <c r="T82" s="1">
        <v>5.3E-3</v>
      </c>
      <c r="U82" s="1">
        <v>5.3E-3</v>
      </c>
      <c r="V82" s="1">
        <v>9.4255199999999997E-3</v>
      </c>
      <c r="W82" s="1">
        <v>9.4255199999999997E-3</v>
      </c>
      <c r="X82" s="6">
        <v>5.8692560628250234E-2</v>
      </c>
      <c r="Y82" s="1" t="s">
        <v>194</v>
      </c>
      <c r="Z82" s="1" t="s">
        <v>194</v>
      </c>
      <c r="AA82" s="2">
        <v>186</v>
      </c>
      <c r="AB82" s="3">
        <v>749</v>
      </c>
    </row>
    <row r="83" spans="1:28" x14ac:dyDescent="0.25">
      <c r="A83" s="1" t="s">
        <v>53</v>
      </c>
      <c r="B83" s="1">
        <v>0</v>
      </c>
      <c r="C83" s="1" t="s">
        <v>17</v>
      </c>
      <c r="D83" s="1" t="s">
        <v>23</v>
      </c>
      <c r="E83" s="1">
        <v>0.02</v>
      </c>
      <c r="F83" s="1">
        <v>1.2500000000000001E-2</v>
      </c>
      <c r="G83" s="1" t="s">
        <v>198</v>
      </c>
      <c r="H83" s="1">
        <v>2.0000000000000002E-5</v>
      </c>
      <c r="I83" s="1">
        <v>0.15</v>
      </c>
      <c r="J83" s="5">
        <v>0.97499999999999998</v>
      </c>
      <c r="K83" s="1" t="b">
        <v>1</v>
      </c>
      <c r="L83" s="1">
        <f t="shared" si="6"/>
        <v>0</v>
      </c>
      <c r="M83" s="1">
        <v>0</v>
      </c>
      <c r="N83" s="1">
        <f t="shared" si="7"/>
        <v>4.1600000000000005E-2</v>
      </c>
      <c r="O83" s="1">
        <v>4.1600000000000005E-2</v>
      </c>
      <c r="P83" s="1">
        <f t="shared" si="8"/>
        <v>0.13799999999999998</v>
      </c>
      <c r="Q83" s="1">
        <v>1</v>
      </c>
      <c r="R83" s="1">
        <v>0.12</v>
      </c>
      <c r="S83" s="1">
        <v>0.12</v>
      </c>
      <c r="T83" s="1">
        <v>0</v>
      </c>
      <c r="U83" s="1">
        <v>0</v>
      </c>
      <c r="V83" s="1">
        <v>3.2000000000000001E-2</v>
      </c>
      <c r="W83" s="1">
        <v>3.2000000000000001E-2</v>
      </c>
      <c r="X83" s="6">
        <v>6.4864090669833452E-2</v>
      </c>
      <c r="Y83" s="1">
        <v>0</v>
      </c>
      <c r="Z83" s="1">
        <v>0</v>
      </c>
      <c r="AA83" s="2">
        <v>120</v>
      </c>
      <c r="AB83" s="3">
        <v>849</v>
      </c>
    </row>
    <row r="84" spans="1:28" x14ac:dyDescent="0.25">
      <c r="A84" s="1" t="s">
        <v>54</v>
      </c>
      <c r="B84" s="1">
        <v>12</v>
      </c>
      <c r="C84" s="1" t="s">
        <v>17</v>
      </c>
      <c r="D84" s="1" t="s">
        <v>23</v>
      </c>
      <c r="E84" s="1">
        <v>0.02</v>
      </c>
      <c r="F84" s="1">
        <v>1.2500000000000001E-2</v>
      </c>
      <c r="G84" s="1" t="s">
        <v>197</v>
      </c>
      <c r="H84" s="1">
        <v>2.0000000000000002E-5</v>
      </c>
      <c r="I84" s="1">
        <v>0.15</v>
      </c>
      <c r="J84" s="5">
        <v>0.97499999999999998</v>
      </c>
      <c r="K84" s="1" t="b">
        <v>1</v>
      </c>
      <c r="L84" s="1">
        <f t="shared" si="6"/>
        <v>1.3986030451783192E-2</v>
      </c>
      <c r="M84" s="1">
        <v>1.3986030451783192E-2</v>
      </c>
      <c r="N84" s="1">
        <f t="shared" si="7"/>
        <v>1.3986030451783192E-2</v>
      </c>
      <c r="O84" s="1">
        <v>1.3986030451783192E-2</v>
      </c>
      <c r="P84" s="1">
        <f t="shared" si="8"/>
        <v>0.26450000000000001</v>
      </c>
      <c r="Q84" s="1">
        <v>1</v>
      </c>
      <c r="R84" s="1">
        <v>0.23</v>
      </c>
      <c r="S84" s="1">
        <v>0.23</v>
      </c>
      <c r="T84" s="1">
        <v>1.0758484962910148E-2</v>
      </c>
      <c r="U84" s="1">
        <v>1.0758484962910148E-2</v>
      </c>
      <c r="V84" s="1">
        <v>1.0758484962910148E-2</v>
      </c>
      <c r="W84" s="1">
        <v>1.0758484962910148E-2</v>
      </c>
      <c r="X84" s="6">
        <v>5.2671865471270785E-2</v>
      </c>
      <c r="Y84" s="1" t="s">
        <v>193</v>
      </c>
      <c r="Z84" s="1" t="s">
        <v>193</v>
      </c>
      <c r="AA84" s="2">
        <v>132</v>
      </c>
      <c r="AB84" s="3">
        <v>849</v>
      </c>
    </row>
    <row r="85" spans="1:28" x14ac:dyDescent="0.25">
      <c r="A85" s="1" t="s">
        <v>55</v>
      </c>
      <c r="B85" s="1">
        <v>0</v>
      </c>
      <c r="C85" s="1" t="s">
        <v>17</v>
      </c>
      <c r="D85" s="1" t="s">
        <v>23</v>
      </c>
      <c r="E85" s="1">
        <v>0.02</v>
      </c>
      <c r="F85" s="1">
        <v>1.2500000000000001E-2</v>
      </c>
      <c r="G85" s="1" t="s">
        <v>198</v>
      </c>
      <c r="H85" s="1">
        <v>2.0000000000000002E-5</v>
      </c>
      <c r="I85" s="1">
        <v>0.15</v>
      </c>
      <c r="J85" s="5">
        <v>0.97499999999999998</v>
      </c>
      <c r="K85" s="1" t="b">
        <v>1</v>
      </c>
      <c r="L85" s="1">
        <f t="shared" si="6"/>
        <v>0</v>
      </c>
      <c r="M85" s="1">
        <v>0</v>
      </c>
      <c r="N85" s="1">
        <f t="shared" si="7"/>
        <v>4.1600000000000005E-2</v>
      </c>
      <c r="O85" s="1">
        <v>4.1600000000000005E-2</v>
      </c>
      <c r="P85" s="1">
        <f t="shared" si="8"/>
        <v>0.13799999999999998</v>
      </c>
      <c r="Q85" s="1">
        <v>1</v>
      </c>
      <c r="R85" s="1">
        <v>0.12</v>
      </c>
      <c r="S85" s="1">
        <v>0.12</v>
      </c>
      <c r="T85" s="1">
        <v>0</v>
      </c>
      <c r="U85" s="1">
        <v>0</v>
      </c>
      <c r="V85" s="1">
        <v>3.2000000000000001E-2</v>
      </c>
      <c r="W85" s="1">
        <v>3.2000000000000001E-2</v>
      </c>
      <c r="X85" s="6">
        <v>6.3424106119425616E-2</v>
      </c>
      <c r="Y85" s="1">
        <v>0</v>
      </c>
      <c r="Z85" s="1">
        <v>0</v>
      </c>
      <c r="AA85" s="2">
        <v>180</v>
      </c>
      <c r="AB85" s="3">
        <v>849</v>
      </c>
    </row>
    <row r="86" spans="1:28" x14ac:dyDescent="0.25">
      <c r="A86" s="1" t="s">
        <v>56</v>
      </c>
      <c r="B86" s="1">
        <v>3</v>
      </c>
      <c r="C86" s="1" t="s">
        <v>17</v>
      </c>
      <c r="D86" s="1" t="s">
        <v>23</v>
      </c>
      <c r="E86" s="1">
        <v>0.02</v>
      </c>
      <c r="F86" s="1">
        <v>1.2500000000000001E-2</v>
      </c>
      <c r="G86" s="1" t="s">
        <v>197</v>
      </c>
      <c r="H86" s="1">
        <v>2.0000000000000002E-5</v>
      </c>
      <c r="I86" s="1">
        <v>0.15</v>
      </c>
      <c r="J86" s="5">
        <v>0.99750000000000005</v>
      </c>
      <c r="K86" s="1" t="b">
        <v>1</v>
      </c>
      <c r="L86" s="1">
        <f t="shared" si="6"/>
        <v>1.253919971539183E-2</v>
      </c>
      <c r="M86" s="1">
        <v>1.253919971539183E-2</v>
      </c>
      <c r="N86" s="1">
        <f t="shared" si="7"/>
        <v>1.253919971539183E-2</v>
      </c>
      <c r="O86" s="1">
        <v>1.253919971539183E-2</v>
      </c>
      <c r="P86" s="1">
        <f t="shared" si="8"/>
        <v>0.26450000000000001</v>
      </c>
      <c r="Q86" s="1">
        <v>1</v>
      </c>
      <c r="R86" s="1">
        <v>0.23</v>
      </c>
      <c r="S86" s="1">
        <v>0.23</v>
      </c>
      <c r="T86" s="1">
        <v>9.6455382426090999E-3</v>
      </c>
      <c r="U86" s="1">
        <v>9.6455382426090999E-3</v>
      </c>
      <c r="V86" s="1">
        <v>9.6455382426090999E-3</v>
      </c>
      <c r="W86" s="1">
        <v>9.6455382426090999E-3</v>
      </c>
      <c r="X86" s="6">
        <v>6.5451837057858953E-2</v>
      </c>
      <c r="Y86" s="1" t="s">
        <v>195</v>
      </c>
      <c r="Z86" s="1" t="s">
        <v>195</v>
      </c>
      <c r="AA86" s="2">
        <v>63</v>
      </c>
      <c r="AB86" s="3">
        <v>849</v>
      </c>
    </row>
    <row r="87" spans="1:28" x14ac:dyDescent="0.25">
      <c r="A87" s="1" t="s">
        <v>57</v>
      </c>
      <c r="B87" s="1">
        <v>0</v>
      </c>
      <c r="C87" s="1" t="s">
        <v>17</v>
      </c>
      <c r="D87" s="1" t="s">
        <v>23</v>
      </c>
      <c r="E87" s="1">
        <v>0.02</v>
      </c>
      <c r="F87" s="1">
        <v>1.2500000000000001E-2</v>
      </c>
      <c r="G87" s="1" t="s">
        <v>198</v>
      </c>
      <c r="H87" s="1">
        <v>2.0000000000000002E-5</v>
      </c>
      <c r="I87" s="1">
        <v>0.15</v>
      </c>
      <c r="J87" s="5">
        <v>0.97499999999999998</v>
      </c>
      <c r="K87" s="1" t="b">
        <v>1</v>
      </c>
      <c r="L87" s="1">
        <f t="shared" si="6"/>
        <v>0</v>
      </c>
      <c r="M87" s="1">
        <v>0</v>
      </c>
      <c r="N87" s="1">
        <f t="shared" si="7"/>
        <v>4.1600000000000005E-2</v>
      </c>
      <c r="O87" s="1">
        <v>4.1600000000000005E-2</v>
      </c>
      <c r="P87" s="1">
        <f t="shared" si="8"/>
        <v>0.13799999999999998</v>
      </c>
      <c r="Q87" s="1">
        <v>1</v>
      </c>
      <c r="R87" s="1">
        <v>0.12</v>
      </c>
      <c r="S87" s="1">
        <v>0.12</v>
      </c>
      <c r="T87" s="1">
        <v>0</v>
      </c>
      <c r="U87" s="1">
        <v>0</v>
      </c>
      <c r="V87" s="1">
        <v>3.2000000000000001E-2</v>
      </c>
      <c r="W87" s="1">
        <v>3.2000000000000001E-2</v>
      </c>
      <c r="X87" s="6">
        <v>4.9643392514035156E-2</v>
      </c>
      <c r="Y87" s="1">
        <v>0</v>
      </c>
      <c r="Z87" s="1">
        <v>0</v>
      </c>
      <c r="AA87" s="2">
        <v>120</v>
      </c>
      <c r="AB87" s="3">
        <v>898.99999999999989</v>
      </c>
    </row>
    <row r="88" spans="1:28" x14ac:dyDescent="0.25">
      <c r="A88" s="1" t="s">
        <v>58</v>
      </c>
      <c r="B88" s="1">
        <v>12</v>
      </c>
      <c r="C88" s="1" t="s">
        <v>17</v>
      </c>
      <c r="D88" s="1" t="s">
        <v>23</v>
      </c>
      <c r="E88" s="1">
        <v>0.02</v>
      </c>
      <c r="F88" s="1">
        <v>1.2500000000000001E-2</v>
      </c>
      <c r="G88" s="1" t="s">
        <v>197</v>
      </c>
      <c r="H88" s="1">
        <v>2.0000000000000002E-5</v>
      </c>
      <c r="I88" s="1">
        <v>0.15</v>
      </c>
      <c r="J88" s="5">
        <v>0.97499999999999998</v>
      </c>
      <c r="K88" s="1" t="b">
        <v>1</v>
      </c>
      <c r="L88" s="1">
        <f t="shared" si="6"/>
        <v>1.3986030451783192E-2</v>
      </c>
      <c r="M88" s="1">
        <v>1.3986030451783192E-2</v>
      </c>
      <c r="N88" s="1">
        <f t="shared" si="7"/>
        <v>1.3986030451783192E-2</v>
      </c>
      <c r="O88" s="1">
        <v>1.3986030451783192E-2</v>
      </c>
      <c r="P88" s="1">
        <f t="shared" si="8"/>
        <v>0.26450000000000001</v>
      </c>
      <c r="Q88" s="1">
        <v>1</v>
      </c>
      <c r="R88" s="1">
        <v>0.23</v>
      </c>
      <c r="S88" s="1">
        <v>0.23</v>
      </c>
      <c r="T88" s="1">
        <v>1.0758484962910148E-2</v>
      </c>
      <c r="U88" s="1">
        <v>1.0758484962910148E-2</v>
      </c>
      <c r="V88" s="1">
        <v>1.0758484962910148E-2</v>
      </c>
      <c r="W88" s="1">
        <v>1.0758484962910148E-2</v>
      </c>
      <c r="X88" s="6">
        <v>5.5514015734065225E-2</v>
      </c>
      <c r="Y88" s="1" t="s">
        <v>193</v>
      </c>
      <c r="Z88" s="1" t="s">
        <v>193</v>
      </c>
      <c r="AA88" s="2">
        <v>132</v>
      </c>
      <c r="AB88" s="3">
        <v>898.99999999999989</v>
      </c>
    </row>
    <row r="89" spans="1:28" x14ac:dyDescent="0.25">
      <c r="A89" s="1" t="s">
        <v>59</v>
      </c>
      <c r="B89" s="1">
        <v>0</v>
      </c>
      <c r="C89" s="1" t="s">
        <v>17</v>
      </c>
      <c r="D89" s="1" t="s">
        <v>23</v>
      </c>
      <c r="E89" s="1">
        <v>0.02</v>
      </c>
      <c r="F89" s="1">
        <v>1.2500000000000001E-2</v>
      </c>
      <c r="G89" s="1" t="s">
        <v>198</v>
      </c>
      <c r="H89" s="1">
        <v>2.0000000000000002E-5</v>
      </c>
      <c r="I89" s="1">
        <v>0.15</v>
      </c>
      <c r="J89" s="5">
        <v>0.97499999999999998</v>
      </c>
      <c r="K89" s="1" t="b">
        <v>1</v>
      </c>
      <c r="L89" s="1">
        <f t="shared" si="6"/>
        <v>0</v>
      </c>
      <c r="M89" s="1">
        <v>0</v>
      </c>
      <c r="N89" s="1">
        <f t="shared" si="7"/>
        <v>4.1600000000000005E-2</v>
      </c>
      <c r="O89" s="1">
        <v>4.1600000000000005E-2</v>
      </c>
      <c r="P89" s="1">
        <f t="shared" si="8"/>
        <v>0.13799999999999998</v>
      </c>
      <c r="Q89" s="1">
        <v>1</v>
      </c>
      <c r="R89" s="1">
        <v>0.12</v>
      </c>
      <c r="S89" s="1">
        <v>0.12</v>
      </c>
      <c r="T89" s="1">
        <v>0</v>
      </c>
      <c r="U89" s="1">
        <v>0</v>
      </c>
      <c r="V89" s="1">
        <v>3.2000000000000001E-2</v>
      </c>
      <c r="W89" s="1">
        <v>3.2000000000000001E-2</v>
      </c>
      <c r="X89" s="6">
        <v>4.8187665856795903E-2</v>
      </c>
      <c r="Y89" s="1">
        <v>0</v>
      </c>
      <c r="Z89" s="1">
        <v>0</v>
      </c>
      <c r="AA89" s="2">
        <v>180</v>
      </c>
      <c r="AB89" s="3">
        <v>898.99999999999989</v>
      </c>
    </row>
    <row r="90" spans="1:28" x14ac:dyDescent="0.25">
      <c r="A90" s="1" t="s">
        <v>60</v>
      </c>
      <c r="B90" s="1">
        <v>3</v>
      </c>
      <c r="C90" s="1" t="s">
        <v>17</v>
      </c>
      <c r="D90" s="1" t="s">
        <v>23</v>
      </c>
      <c r="E90" s="1">
        <v>0.02</v>
      </c>
      <c r="F90" s="1">
        <v>1.2500000000000001E-2</v>
      </c>
      <c r="G90" s="1" t="s">
        <v>197</v>
      </c>
      <c r="H90" s="1">
        <v>2.0000000000000002E-5</v>
      </c>
      <c r="I90" s="1">
        <v>0.15</v>
      </c>
      <c r="J90" s="5">
        <v>0.99750000000000005</v>
      </c>
      <c r="K90" s="1" t="b">
        <v>1</v>
      </c>
      <c r="L90" s="1">
        <f t="shared" si="6"/>
        <v>1.253919971539183E-2</v>
      </c>
      <c r="M90" s="1">
        <v>1.253919971539183E-2</v>
      </c>
      <c r="N90" s="1">
        <f t="shared" si="7"/>
        <v>1.253919971539183E-2</v>
      </c>
      <c r="O90" s="1">
        <v>1.253919971539183E-2</v>
      </c>
      <c r="P90" s="1">
        <f t="shared" si="8"/>
        <v>0.26450000000000001</v>
      </c>
      <c r="Q90" s="1">
        <v>1</v>
      </c>
      <c r="R90" s="1">
        <v>0.23</v>
      </c>
      <c r="S90" s="1">
        <v>0.23</v>
      </c>
      <c r="T90" s="1">
        <v>9.6455382426090999E-3</v>
      </c>
      <c r="U90" s="1">
        <v>9.6455382426090999E-3</v>
      </c>
      <c r="V90" s="1">
        <v>9.6455382426090999E-3</v>
      </c>
      <c r="W90" s="1">
        <v>9.6455382426090999E-3</v>
      </c>
      <c r="X90" s="6">
        <v>6.9668313585732555E-2</v>
      </c>
      <c r="Y90" s="1" t="s">
        <v>195</v>
      </c>
      <c r="Z90" s="1" t="s">
        <v>195</v>
      </c>
      <c r="AA90" s="2">
        <v>63</v>
      </c>
      <c r="AB90" s="3">
        <v>898.99999999999989</v>
      </c>
    </row>
    <row r="91" spans="1:28" x14ac:dyDescent="0.25">
      <c r="A91" s="1" t="s">
        <v>61</v>
      </c>
      <c r="B91" s="1">
        <v>0</v>
      </c>
      <c r="C91" s="1" t="s">
        <v>17</v>
      </c>
      <c r="D91" s="1" t="s">
        <v>23</v>
      </c>
      <c r="E91" s="1">
        <v>0.02</v>
      </c>
      <c r="F91" s="1">
        <v>1.2500000000000001E-2</v>
      </c>
      <c r="G91" s="1" t="s">
        <v>198</v>
      </c>
      <c r="H91" s="1">
        <v>2.0000000000000002E-5</v>
      </c>
      <c r="I91" s="1">
        <v>0.15</v>
      </c>
      <c r="J91" s="5">
        <v>0.97499999999999998</v>
      </c>
      <c r="K91" s="1" t="b">
        <v>1</v>
      </c>
      <c r="L91" s="1">
        <f t="shared" si="6"/>
        <v>0</v>
      </c>
      <c r="M91" s="1">
        <v>0</v>
      </c>
      <c r="N91" s="1">
        <f t="shared" si="7"/>
        <v>4.1600000000000005E-2</v>
      </c>
      <c r="O91" s="1">
        <v>4.1600000000000005E-2</v>
      </c>
      <c r="P91" s="1">
        <f t="shared" si="8"/>
        <v>0.13799999999999998</v>
      </c>
      <c r="Q91" s="1">
        <v>1</v>
      </c>
      <c r="R91" s="1">
        <v>0.12</v>
      </c>
      <c r="S91" s="1">
        <v>0.12</v>
      </c>
      <c r="T91" s="1">
        <v>0</v>
      </c>
      <c r="U91" s="1">
        <v>0</v>
      </c>
      <c r="V91" s="1">
        <v>3.2000000000000001E-2</v>
      </c>
      <c r="W91" s="1">
        <v>3.2000000000000001E-2</v>
      </c>
      <c r="X91" s="6">
        <v>7.487519420835298E-2</v>
      </c>
      <c r="Y91" s="1">
        <v>0</v>
      </c>
      <c r="Z91" s="1">
        <v>0</v>
      </c>
      <c r="AA91" s="2">
        <v>120</v>
      </c>
      <c r="AB91" s="3">
        <v>949</v>
      </c>
    </row>
    <row r="92" spans="1:28" x14ac:dyDescent="0.25">
      <c r="A92" s="1" t="s">
        <v>62</v>
      </c>
      <c r="B92" s="1">
        <v>12</v>
      </c>
      <c r="C92" s="1" t="s">
        <v>17</v>
      </c>
      <c r="D92" s="1" t="s">
        <v>23</v>
      </c>
      <c r="E92" s="1">
        <v>0.02</v>
      </c>
      <c r="F92" s="1">
        <v>1.2500000000000001E-2</v>
      </c>
      <c r="G92" s="1" t="s">
        <v>197</v>
      </c>
      <c r="H92" s="1">
        <v>2.0000000000000002E-5</v>
      </c>
      <c r="I92" s="1">
        <v>0.15</v>
      </c>
      <c r="J92" s="5">
        <v>0.97499999999999998</v>
      </c>
      <c r="K92" s="1" t="b">
        <v>1</v>
      </c>
      <c r="L92" s="1">
        <f t="shared" si="6"/>
        <v>7.5399999999999998E-3</v>
      </c>
      <c r="M92" s="1">
        <v>7.5399999999999998E-3</v>
      </c>
      <c r="N92" s="1">
        <f t="shared" si="7"/>
        <v>1.3986030451783192E-2</v>
      </c>
      <c r="O92" s="1">
        <v>1.3986030451783192E-2</v>
      </c>
      <c r="P92" s="1">
        <f t="shared" si="8"/>
        <v>0.26450000000000001</v>
      </c>
      <c r="Q92" s="1">
        <v>1</v>
      </c>
      <c r="R92" s="1">
        <v>0.23</v>
      </c>
      <c r="S92" s="1">
        <v>0.23</v>
      </c>
      <c r="T92" s="1">
        <v>5.7999999999999996E-3</v>
      </c>
      <c r="U92" s="1">
        <v>5.7999999999999996E-3</v>
      </c>
      <c r="V92" s="1">
        <v>1.0758484962910148E-2</v>
      </c>
      <c r="W92" s="1">
        <v>1.0758484962910148E-2</v>
      </c>
      <c r="X92" s="6">
        <v>6.0181719776185361E-2</v>
      </c>
      <c r="Y92" s="1" t="s">
        <v>193</v>
      </c>
      <c r="Z92" s="1" t="s">
        <v>193</v>
      </c>
      <c r="AA92" s="2">
        <v>132</v>
      </c>
      <c r="AB92" s="3">
        <v>949</v>
      </c>
    </row>
    <row r="93" spans="1:28" x14ac:dyDescent="0.25">
      <c r="A93" s="1" t="s">
        <v>64</v>
      </c>
      <c r="B93" s="1">
        <v>3</v>
      </c>
      <c r="C93" s="1" t="s">
        <v>17</v>
      </c>
      <c r="D93" s="1" t="s">
        <v>23</v>
      </c>
      <c r="E93" s="1">
        <v>0.02</v>
      </c>
      <c r="F93" s="1">
        <v>1.2500000000000001E-2</v>
      </c>
      <c r="G93" s="1" t="s">
        <v>197</v>
      </c>
      <c r="H93" s="1">
        <v>2.0000000000000002E-5</v>
      </c>
      <c r="I93" s="1">
        <v>0.15</v>
      </c>
      <c r="J93" s="5">
        <v>0.99750000000000005</v>
      </c>
      <c r="K93" s="1" t="b">
        <v>1</v>
      </c>
      <c r="L93" s="1">
        <f t="shared" si="6"/>
        <v>6.7599999999999995E-3</v>
      </c>
      <c r="M93" s="1">
        <v>6.7599999999999995E-3</v>
      </c>
      <c r="N93" s="1">
        <f t="shared" si="7"/>
        <v>1.253919971539183E-2</v>
      </c>
      <c r="O93" s="1">
        <v>1.253919971539183E-2</v>
      </c>
      <c r="P93" s="1">
        <f t="shared" si="8"/>
        <v>0.26450000000000001</v>
      </c>
      <c r="Q93" s="1">
        <v>1</v>
      </c>
      <c r="R93" s="1">
        <v>0.23</v>
      </c>
      <c r="S93" s="1">
        <v>0.23</v>
      </c>
      <c r="T93" s="1">
        <v>5.1999999999999998E-3</v>
      </c>
      <c r="U93" s="1">
        <v>5.1999999999999998E-3</v>
      </c>
      <c r="V93" s="1">
        <v>9.6455382426090999E-3</v>
      </c>
      <c r="W93" s="1">
        <v>9.6455382426090999E-3</v>
      </c>
      <c r="X93" s="6">
        <v>7.4458816202809253E-2</v>
      </c>
      <c r="Y93" s="1" t="s">
        <v>195</v>
      </c>
      <c r="Z93" s="1" t="s">
        <v>195</v>
      </c>
      <c r="AA93" s="2">
        <v>63</v>
      </c>
      <c r="AB93" s="3">
        <v>949</v>
      </c>
    </row>
    <row r="94" spans="1:28" x14ac:dyDescent="0.25">
      <c r="A94" s="1" t="s">
        <v>11</v>
      </c>
      <c r="B94" s="1">
        <v>36</v>
      </c>
      <c r="C94" s="1" t="s">
        <v>17</v>
      </c>
      <c r="D94" s="1" t="s">
        <v>23</v>
      </c>
      <c r="E94" s="1">
        <v>0.02</v>
      </c>
      <c r="F94" s="1">
        <v>1.2500000000000001E-2</v>
      </c>
      <c r="G94" s="1" t="s">
        <v>199</v>
      </c>
      <c r="H94" s="1">
        <v>2.0000000000000002E-5</v>
      </c>
      <c r="I94" s="1">
        <v>0.15</v>
      </c>
      <c r="J94" s="5">
        <v>0.91249999999999998</v>
      </c>
      <c r="K94" s="1" t="b">
        <v>1</v>
      </c>
      <c r="L94" s="1">
        <f t="shared" si="6"/>
        <v>0</v>
      </c>
      <c r="M94" s="1">
        <v>0</v>
      </c>
      <c r="N94" s="1">
        <f t="shared" si="7"/>
        <v>1.6569643373159575E-2</v>
      </c>
      <c r="O94" s="1">
        <v>1.6569643373159575E-2</v>
      </c>
      <c r="P94" s="1">
        <f t="shared" si="8"/>
        <v>0.24609999999999999</v>
      </c>
      <c r="Q94" s="1">
        <v>1</v>
      </c>
      <c r="R94" s="1">
        <v>0.214</v>
      </c>
      <c r="S94" s="1">
        <v>0.214</v>
      </c>
      <c r="T94" s="1">
        <v>0</v>
      </c>
      <c r="U94" s="1">
        <v>0</v>
      </c>
      <c r="V94" s="1">
        <v>1.2745879517815056E-2</v>
      </c>
      <c r="W94" s="1">
        <v>1.2745879517815056E-2</v>
      </c>
      <c r="X94" s="6">
        <v>6.4694889578977843E-2</v>
      </c>
      <c r="Y94" s="1">
        <v>0</v>
      </c>
      <c r="Z94" s="1">
        <v>0</v>
      </c>
      <c r="AA94" s="2">
        <v>36</v>
      </c>
      <c r="AB94" s="3">
        <v>0</v>
      </c>
    </row>
    <row r="95" spans="1:28" x14ac:dyDescent="0.25">
      <c r="A95" s="1" t="s">
        <v>12</v>
      </c>
      <c r="B95" s="1">
        <v>60</v>
      </c>
      <c r="C95" s="1" t="s">
        <v>17</v>
      </c>
      <c r="D95" s="1" t="s">
        <v>23</v>
      </c>
      <c r="E95" s="1">
        <v>0.02</v>
      </c>
      <c r="F95" s="1">
        <v>1.2500000000000001E-2</v>
      </c>
      <c r="G95" s="1" t="s">
        <v>199</v>
      </c>
      <c r="H95" s="1">
        <v>2.0000000000000002E-5</v>
      </c>
      <c r="I95" s="1">
        <v>0.15</v>
      </c>
      <c r="J95" s="5">
        <v>0.87749999999999995</v>
      </c>
      <c r="K95" s="1" t="b">
        <v>1</v>
      </c>
      <c r="L95" s="1">
        <f t="shared" si="6"/>
        <v>0</v>
      </c>
      <c r="M95" s="1">
        <v>0</v>
      </c>
      <c r="N95" s="1">
        <f t="shared" si="7"/>
        <v>1.9882121536859802E-2</v>
      </c>
      <c r="O95" s="1">
        <v>1.9882121536859802E-2</v>
      </c>
      <c r="P95" s="1">
        <f t="shared" si="8"/>
        <v>0.15984999999999999</v>
      </c>
      <c r="Q95" s="1">
        <v>1</v>
      </c>
      <c r="R95" s="1">
        <v>0.13900000000000001</v>
      </c>
      <c r="S95" s="1">
        <v>0.13900000000000001</v>
      </c>
      <c r="T95" s="1">
        <v>0</v>
      </c>
      <c r="U95" s="1">
        <v>0</v>
      </c>
      <c r="V95" s="1">
        <v>1.5293939643738309E-2</v>
      </c>
      <c r="W95" s="1">
        <v>1.5293939643738309E-2</v>
      </c>
      <c r="X95" s="6">
        <v>5.3756466862924235E-2</v>
      </c>
      <c r="Y95" s="1">
        <v>0</v>
      </c>
      <c r="Z95" s="1">
        <v>0</v>
      </c>
      <c r="AA95" s="2">
        <v>60</v>
      </c>
      <c r="AB95" s="3">
        <v>0</v>
      </c>
    </row>
    <row r="96" spans="1:28" x14ac:dyDescent="0.25">
      <c r="A96" s="1" t="s">
        <v>209</v>
      </c>
      <c r="B96" s="1">
        <v>24</v>
      </c>
      <c r="C96" s="1" t="s">
        <v>17</v>
      </c>
      <c r="D96" s="1" t="s">
        <v>23</v>
      </c>
      <c r="E96" s="1">
        <v>0.02</v>
      </c>
      <c r="F96" s="1">
        <v>1.2500000000000001E-2</v>
      </c>
      <c r="G96" s="1" t="s">
        <v>210</v>
      </c>
      <c r="H96" s="1">
        <v>2.0000000000000002E-5</v>
      </c>
      <c r="I96" s="1">
        <v>0.15</v>
      </c>
      <c r="J96" s="5">
        <v>0.90249999999999997</v>
      </c>
      <c r="K96" s="1" t="b">
        <v>1</v>
      </c>
      <c r="L96" s="1">
        <v>2.4239069668064304E-2</v>
      </c>
      <c r="M96" s="1">
        <v>2.4239069668064304E-2</v>
      </c>
      <c r="N96" s="1">
        <v>2.4239069668064304E-2</v>
      </c>
      <c r="O96" s="1">
        <v>2.4239069668064304E-2</v>
      </c>
      <c r="P96" s="1">
        <v>0.42</v>
      </c>
      <c r="Q96" s="1">
        <v>1</v>
      </c>
      <c r="R96" s="1">
        <v>0.5</v>
      </c>
      <c r="S96" s="1">
        <v>0.5</v>
      </c>
      <c r="T96" s="1">
        <v>8.0796898893547679E-3</v>
      </c>
      <c r="U96" s="1">
        <v>8.0796898893547679E-3</v>
      </c>
      <c r="V96" s="1">
        <v>8.0796898893547679E-3</v>
      </c>
      <c r="W96" s="1">
        <v>8.0796898893547679E-3</v>
      </c>
      <c r="X96" s="6">
        <v>0</v>
      </c>
      <c r="Y96" s="1" t="s">
        <v>211</v>
      </c>
      <c r="Z96" s="1" t="s">
        <v>211</v>
      </c>
      <c r="AA96" s="2">
        <v>96</v>
      </c>
      <c r="AB96" s="3">
        <v>1795</v>
      </c>
    </row>
    <row r="97" spans="1:28" ht="11.4" x14ac:dyDescent="0.25">
      <c r="A97" s="7" t="s">
        <v>219</v>
      </c>
      <c r="B97" s="1">
        <v>18</v>
      </c>
      <c r="C97" s="1" t="s">
        <v>17</v>
      </c>
      <c r="D97" s="1" t="s">
        <v>23</v>
      </c>
      <c r="E97" s="1">
        <v>0.02</v>
      </c>
      <c r="F97" s="1">
        <v>1.2500000000000001E-2</v>
      </c>
      <c r="G97" s="1" t="s">
        <v>210</v>
      </c>
      <c r="H97" s="1">
        <v>2.0000000000000002E-5</v>
      </c>
      <c r="I97" s="1">
        <v>0.15</v>
      </c>
      <c r="J97" s="1">
        <v>0.92249999999999999</v>
      </c>
      <c r="K97" s="1" t="b">
        <v>1</v>
      </c>
      <c r="L97" s="1">
        <v>1.7000000000000001E-2</v>
      </c>
      <c r="M97" s="1">
        <v>1.7000000000000001E-2</v>
      </c>
      <c r="N97" s="1">
        <v>1.7000000000000001E-2</v>
      </c>
      <c r="O97" s="1">
        <v>1.7000000000000001E-2</v>
      </c>
      <c r="P97" s="1">
        <v>0.45</v>
      </c>
      <c r="Q97" s="1">
        <v>1</v>
      </c>
      <c r="R97" s="8">
        <v>0.5</v>
      </c>
      <c r="S97" s="9">
        <v>0.5</v>
      </c>
      <c r="T97" s="8">
        <v>8.8277517567494808E-3</v>
      </c>
      <c r="U97" s="1">
        <v>8.8277517567494808E-3</v>
      </c>
      <c r="V97" s="8">
        <v>8.8277517567494808E-3</v>
      </c>
      <c r="W97" s="9">
        <v>8.8277517567494808E-3</v>
      </c>
      <c r="X97" s="1">
        <v>4.1811668951337921E-2</v>
      </c>
      <c r="Y97" s="1" t="s">
        <v>218</v>
      </c>
      <c r="Z97" s="1" t="s">
        <v>218</v>
      </c>
      <c r="AA97" s="1">
        <v>84</v>
      </c>
      <c r="AB97" s="1">
        <v>1599</v>
      </c>
    </row>
  </sheetData>
  <autoFilter ref="A1:AB130" xr:uid="{0CC1E921-3C0F-4576-AB69-4555387B9FB9}"/>
  <sortState xmlns:xlrd2="http://schemas.microsoft.com/office/spreadsheetml/2017/richdata2" ref="A2:AB95">
    <sortCondition ref="D2:D95"/>
    <sortCondition ref="A2:A9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D81F-7BD1-4151-B05F-EC339FE55C2D}">
  <dimension ref="A1:CK26"/>
  <sheetViews>
    <sheetView topLeftCell="BT1" workbookViewId="0">
      <selection activeCell="CH26" sqref="CH26"/>
    </sheetView>
  </sheetViews>
  <sheetFormatPr defaultRowHeight="14.4" x14ac:dyDescent="0.3"/>
  <sheetData>
    <row r="1" spans="1:89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110</v>
      </c>
      <c r="AJ1" t="s">
        <v>111</v>
      </c>
      <c r="AK1" t="s">
        <v>166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167</v>
      </c>
      <c r="AT1" t="s">
        <v>119</v>
      </c>
      <c r="AU1" t="s">
        <v>120</v>
      </c>
      <c r="AV1" t="s">
        <v>121</v>
      </c>
      <c r="AW1" t="s">
        <v>122</v>
      </c>
      <c r="AX1" t="s">
        <v>123</v>
      </c>
      <c r="AY1" t="s">
        <v>124</v>
      </c>
      <c r="AZ1" t="s">
        <v>125</v>
      </c>
      <c r="BA1" t="s">
        <v>126</v>
      </c>
      <c r="BB1" t="s">
        <v>127</v>
      </c>
      <c r="BC1" t="s">
        <v>128</v>
      </c>
      <c r="BD1" t="s">
        <v>129</v>
      </c>
      <c r="BE1" t="s">
        <v>130</v>
      </c>
      <c r="BF1" t="s">
        <v>131</v>
      </c>
      <c r="BG1" t="s">
        <v>134</v>
      </c>
      <c r="BH1" t="s">
        <v>135</v>
      </c>
      <c r="BI1" t="s">
        <v>136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139</v>
      </c>
      <c r="BP1" t="s">
        <v>173</v>
      </c>
      <c r="BQ1" t="s">
        <v>174</v>
      </c>
      <c r="BR1" t="s">
        <v>175</v>
      </c>
      <c r="BS1" t="s">
        <v>176</v>
      </c>
      <c r="BT1" t="s">
        <v>140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141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</row>
    <row r="2" spans="1:89" x14ac:dyDescent="0.3">
      <c r="A2">
        <v>1</v>
      </c>
      <c r="B2">
        <v>0.33366366942247766</v>
      </c>
      <c r="C2">
        <v>0.12881708927153382</v>
      </c>
      <c r="D2">
        <v>6.7633349879308385E-2</v>
      </c>
      <c r="E2">
        <v>3.9703346185265796E-2</v>
      </c>
      <c r="F2">
        <v>3.0268230339093809E-2</v>
      </c>
      <c r="G2">
        <v>0.09</v>
      </c>
      <c r="H2">
        <v>4.4999999999999998E-2</v>
      </c>
      <c r="I2">
        <v>0.03</v>
      </c>
      <c r="J2">
        <v>5.0200338204017612E-2</v>
      </c>
      <c r="K2">
        <v>5.2132744120853093E-2</v>
      </c>
      <c r="L2">
        <v>2.8671159274204605E-2</v>
      </c>
      <c r="M2">
        <v>4.8984914284981605E-2</v>
      </c>
      <c r="N2">
        <v>4.5242224320499319E-2</v>
      </c>
      <c r="O2">
        <v>3.3671159274204603E-2</v>
      </c>
      <c r="P2">
        <v>6.7214363401919747E-2</v>
      </c>
      <c r="Q2">
        <v>4.7410485996840335E-2</v>
      </c>
      <c r="R2">
        <v>4.3671159274204605E-2</v>
      </c>
      <c r="S2">
        <v>6.7214363401919747E-2</v>
      </c>
      <c r="T2">
        <v>6.7214363401919747E-2</v>
      </c>
      <c r="U2">
        <v>4.7272958479143486E-2</v>
      </c>
      <c r="V2">
        <v>4.7272958479143486E-2</v>
      </c>
      <c r="W2">
        <v>4.3671159274204605E-2</v>
      </c>
      <c r="X2">
        <v>4.3671159274204605E-2</v>
      </c>
      <c r="Y2">
        <v>4.3671159274204605E-2</v>
      </c>
      <c r="Z2">
        <v>4.3671159274204605E-2</v>
      </c>
      <c r="AA2">
        <v>4.8984914284981605E-2</v>
      </c>
      <c r="AB2">
        <v>4.8984914284981605E-2</v>
      </c>
      <c r="AC2">
        <v>4.8984914284981605E-2</v>
      </c>
      <c r="AD2">
        <v>4.8984914284981605E-2</v>
      </c>
      <c r="AE2">
        <v>3.4087798153406033E-2</v>
      </c>
      <c r="AF2">
        <v>3.4087798153406033E-2</v>
      </c>
      <c r="AG2">
        <v>3.4087798153406033E-2</v>
      </c>
      <c r="AH2">
        <v>3.4087798153406033E-2</v>
      </c>
      <c r="AI2">
        <v>4.3671159274204605E-2</v>
      </c>
      <c r="AJ2">
        <v>4.3671159274204605E-2</v>
      </c>
      <c r="AK2">
        <v>4.3671159274204605E-2</v>
      </c>
      <c r="AL2">
        <v>4.3671159274204605E-2</v>
      </c>
      <c r="AM2">
        <v>4.8984914284981605E-2</v>
      </c>
      <c r="AN2">
        <v>4.8984914284981605E-2</v>
      </c>
      <c r="AO2">
        <v>4.8984914284981605E-2</v>
      </c>
      <c r="AP2">
        <v>4.8984914284981605E-2</v>
      </c>
      <c r="AQ2">
        <v>3.4087798153406033E-2</v>
      </c>
      <c r="AR2">
        <v>3.4087798153406033E-2</v>
      </c>
      <c r="AS2">
        <v>3.4087798153406033E-2</v>
      </c>
      <c r="AT2">
        <v>3.4087798153406033E-2</v>
      </c>
      <c r="AU2">
        <v>4.3671159274204605E-2</v>
      </c>
      <c r="AV2">
        <v>4.3671159274204605E-2</v>
      </c>
      <c r="AW2">
        <v>4.3671159274204605E-2</v>
      </c>
      <c r="AX2">
        <v>4.3671159274204605E-2</v>
      </c>
      <c r="AY2">
        <v>4.8984914284981605E-2</v>
      </c>
      <c r="AZ2">
        <v>4.8984914284981605E-2</v>
      </c>
      <c r="BA2">
        <v>4.8984914284981605E-2</v>
      </c>
      <c r="BB2">
        <v>4.8984914284981605E-2</v>
      </c>
      <c r="BC2">
        <v>3.4087798153406033E-2</v>
      </c>
      <c r="BD2">
        <v>3.4087798153406033E-2</v>
      </c>
      <c r="BE2">
        <v>3.4087798153406033E-2</v>
      </c>
      <c r="BF2">
        <v>3.4087798153406033E-2</v>
      </c>
      <c r="BG2">
        <v>3.4087798153406033E-2</v>
      </c>
      <c r="BH2">
        <v>5.1131697230109047E-2</v>
      </c>
      <c r="BI2">
        <v>5.1131697230109047E-2</v>
      </c>
      <c r="BJ2">
        <v>4.3671159274204605E-2</v>
      </c>
      <c r="BK2">
        <v>4.8984914284981605E-2</v>
      </c>
      <c r="BL2">
        <v>3.4087798153406033E-2</v>
      </c>
      <c r="BM2">
        <v>0.04</v>
      </c>
      <c r="BN2">
        <v>3.5999999999999997E-2</v>
      </c>
      <c r="BO2">
        <v>4.3671159274204605E-2</v>
      </c>
      <c r="BP2">
        <v>4.3671159274204605E-2</v>
      </c>
      <c r="BQ2">
        <v>4.3671159274204605E-2</v>
      </c>
      <c r="BR2">
        <v>4.3671159274204605E-2</v>
      </c>
      <c r="BS2">
        <v>4.3671159274204605E-2</v>
      </c>
      <c r="BT2">
        <v>4.3671159274204605E-2</v>
      </c>
      <c r="BU2">
        <v>4.3671159274204605E-2</v>
      </c>
      <c r="BV2">
        <v>4.3671159274204605E-2</v>
      </c>
      <c r="BW2">
        <v>4.3671159274204605E-2</v>
      </c>
      <c r="BX2">
        <v>4.3671159274204605E-2</v>
      </c>
      <c r="BY2">
        <v>6.4439052608357736E-2</v>
      </c>
      <c r="BZ2">
        <v>3.7828172316257076E-2</v>
      </c>
      <c r="CA2">
        <v>6.1498594049325138E-2</v>
      </c>
      <c r="CB2">
        <v>4.1451801713657685E-2</v>
      </c>
      <c r="CC2">
        <v>4.3671159274204605E-2</v>
      </c>
      <c r="CD2">
        <v>4.7272958479143486E-2</v>
      </c>
      <c r="CE2">
        <v>0.18955419818088334</v>
      </c>
      <c r="CF2">
        <v>9.742644019130306E-2</v>
      </c>
      <c r="CG2">
        <v>6.4594796557274972E-2</v>
      </c>
      <c r="CH2">
        <v>4.353873027534038E-2</v>
      </c>
      <c r="CI2">
        <v>0.11</v>
      </c>
      <c r="CJ2">
        <v>5.7000000000000002E-2</v>
      </c>
      <c r="CK2">
        <v>5.5E-2</v>
      </c>
    </row>
    <row r="3" spans="1:89" x14ac:dyDescent="0.3">
      <c r="A3">
        <v>2</v>
      </c>
      <c r="B3">
        <v>0.27123217065050953</v>
      </c>
      <c r="C3">
        <v>0.10904922611392982</v>
      </c>
      <c r="D3">
        <v>5.3375652101027772E-2</v>
      </c>
      <c r="E3">
        <v>3.6357158829913777E-2</v>
      </c>
      <c r="F3">
        <v>3.5600135982233924E-2</v>
      </c>
      <c r="G3">
        <v>0.06</v>
      </c>
      <c r="H3">
        <v>4.4999999999999998E-2</v>
      </c>
      <c r="I3">
        <v>0.03</v>
      </c>
      <c r="J3">
        <v>5.1770624948636025E-2</v>
      </c>
      <c r="K3">
        <v>5.3114819452559185E-2</v>
      </c>
      <c r="L3">
        <v>3.6181123470061971E-2</v>
      </c>
      <c r="M3">
        <v>4.2803016462404121E-2</v>
      </c>
      <c r="N3">
        <v>5.5332981280215653E-2</v>
      </c>
      <c r="O3">
        <v>4.1181123470061969E-2</v>
      </c>
      <c r="P3">
        <v>5.8731908490537936E-2</v>
      </c>
      <c r="Q3">
        <v>5.5563488075600763E-2</v>
      </c>
      <c r="R3">
        <v>5.118112347006197E-2</v>
      </c>
      <c r="S3">
        <v>5.8731908490537936E-2</v>
      </c>
      <c r="T3">
        <v>5.8731908490537936E-2</v>
      </c>
      <c r="U3">
        <v>4.0400080520926689E-2</v>
      </c>
      <c r="V3">
        <v>4.0400080520926689E-2</v>
      </c>
      <c r="W3">
        <v>5.118112347006197E-2</v>
      </c>
      <c r="X3">
        <v>5.118112347006197E-2</v>
      </c>
      <c r="Y3">
        <v>5.118112347006197E-2</v>
      </c>
      <c r="Z3">
        <v>5.118112347006197E-2</v>
      </c>
      <c r="AA3">
        <v>4.2803016462404121E-2</v>
      </c>
      <c r="AB3">
        <v>4.2803016462404121E-2</v>
      </c>
      <c r="AC3">
        <v>4.2803016462404121E-2</v>
      </c>
      <c r="AD3">
        <v>4.2803016462404121E-2</v>
      </c>
      <c r="AE3">
        <v>2.9131872311022992E-2</v>
      </c>
      <c r="AF3">
        <v>2.9131872311022992E-2</v>
      </c>
      <c r="AG3">
        <v>2.9131872311022992E-2</v>
      </c>
      <c r="AH3">
        <v>2.9131872311022992E-2</v>
      </c>
      <c r="AI3">
        <v>5.118112347006197E-2</v>
      </c>
      <c r="AJ3">
        <v>5.118112347006197E-2</v>
      </c>
      <c r="AK3">
        <v>5.118112347006197E-2</v>
      </c>
      <c r="AL3">
        <v>5.118112347006197E-2</v>
      </c>
      <c r="AM3">
        <v>4.2803016462404121E-2</v>
      </c>
      <c r="AN3">
        <v>4.2803016462404121E-2</v>
      </c>
      <c r="AO3">
        <v>4.2803016462404121E-2</v>
      </c>
      <c r="AP3">
        <v>4.2803016462404121E-2</v>
      </c>
      <c r="AQ3">
        <v>2.9131872311022992E-2</v>
      </c>
      <c r="AR3">
        <v>2.9131872311022992E-2</v>
      </c>
      <c r="AS3">
        <v>2.9131872311022992E-2</v>
      </c>
      <c r="AT3">
        <v>2.9131872311022992E-2</v>
      </c>
      <c r="AU3">
        <v>5.118112347006197E-2</v>
      </c>
      <c r="AV3">
        <v>5.118112347006197E-2</v>
      </c>
      <c r="AW3">
        <v>5.118112347006197E-2</v>
      </c>
      <c r="AX3">
        <v>5.118112347006197E-2</v>
      </c>
      <c r="AY3">
        <v>4.2803016462404121E-2</v>
      </c>
      <c r="AZ3">
        <v>4.2803016462404121E-2</v>
      </c>
      <c r="BA3">
        <v>4.2803016462404121E-2</v>
      </c>
      <c r="BB3">
        <v>4.2803016462404121E-2</v>
      </c>
      <c r="BC3">
        <v>2.9131872311022992E-2</v>
      </c>
      <c r="BD3">
        <v>2.9131872311022992E-2</v>
      </c>
      <c r="BE3">
        <v>2.9131872311022992E-2</v>
      </c>
      <c r="BF3">
        <v>2.9131872311022992E-2</v>
      </c>
      <c r="BG3">
        <v>2.9131872311022992E-2</v>
      </c>
      <c r="BH3">
        <v>4.3697808466534489E-2</v>
      </c>
      <c r="BI3">
        <v>4.3697808466534489E-2</v>
      </c>
      <c r="BJ3">
        <v>5.118112347006197E-2</v>
      </c>
      <c r="BK3">
        <v>4.2803016462404121E-2</v>
      </c>
      <c r="BL3">
        <v>2.9131872311022992E-2</v>
      </c>
      <c r="BM3">
        <v>0.04</v>
      </c>
      <c r="BN3">
        <v>3.5999999999999997E-2</v>
      </c>
      <c r="BO3">
        <v>5.118112347006197E-2</v>
      </c>
      <c r="BP3">
        <v>5.118112347006197E-2</v>
      </c>
      <c r="BQ3">
        <v>5.118112347006197E-2</v>
      </c>
      <c r="BR3">
        <v>5.118112347006197E-2</v>
      </c>
      <c r="BS3">
        <v>5.118112347006197E-2</v>
      </c>
      <c r="BT3">
        <v>5.118112347006197E-2</v>
      </c>
      <c r="BU3">
        <v>5.118112347006197E-2</v>
      </c>
      <c r="BV3">
        <v>5.118112347006197E-2</v>
      </c>
      <c r="BW3">
        <v>5.118112347006197E-2</v>
      </c>
      <c r="BX3">
        <v>5.118112347006197E-2</v>
      </c>
      <c r="BY3">
        <v>5.0854740448037387E-2</v>
      </c>
      <c r="BZ3">
        <v>3.4640024111063442E-2</v>
      </c>
      <c r="CA3">
        <v>4.3545474270276982E-2</v>
      </c>
      <c r="CB3">
        <v>2.8026264296560244E-2</v>
      </c>
      <c r="CC3">
        <v>5.118112347006197E-2</v>
      </c>
      <c r="CD3">
        <v>4.0400080520926689E-2</v>
      </c>
      <c r="CE3">
        <v>0.12676458131490115</v>
      </c>
      <c r="CF3">
        <v>6.7351181351160333E-2</v>
      </c>
      <c r="CG3">
        <v>4.5737810676168784E-2</v>
      </c>
      <c r="CH3">
        <v>2.9437271997547303E-2</v>
      </c>
      <c r="CI3">
        <v>7.0000000000000007E-2</v>
      </c>
      <c r="CJ3">
        <v>5.6000000000000001E-2</v>
      </c>
      <c r="CK3">
        <v>5.3999999999999999E-2</v>
      </c>
    </row>
    <row r="4" spans="1:89" x14ac:dyDescent="0.3">
      <c r="A4">
        <v>3</v>
      </c>
      <c r="B4">
        <v>0.37960415992701285</v>
      </c>
      <c r="C4">
        <v>0.10644286431367748</v>
      </c>
      <c r="D4">
        <v>5.3250045478004653E-2</v>
      </c>
      <c r="E4">
        <v>3.470970928411711E-2</v>
      </c>
      <c r="F4">
        <v>2.6489949813011334E-2</v>
      </c>
      <c r="G4">
        <v>0.06</v>
      </c>
      <c r="H4">
        <v>4.4999999999999998E-2</v>
      </c>
      <c r="I4">
        <v>0.03</v>
      </c>
      <c r="J4">
        <v>6.7629036847346377E-2</v>
      </c>
      <c r="K4">
        <v>6.4352436426587709E-2</v>
      </c>
      <c r="L4">
        <v>4.6371144566702459E-2</v>
      </c>
      <c r="M4">
        <v>4.1928722007473697E-2</v>
      </c>
      <c r="N4">
        <v>6.9024794399285036E-2</v>
      </c>
      <c r="O4">
        <v>5.1371144566702456E-2</v>
      </c>
      <c r="P4">
        <v>5.7532250471905987E-2</v>
      </c>
      <c r="Q4">
        <v>6.662602592755891E-2</v>
      </c>
      <c r="R4">
        <v>6.1371144566702458E-2</v>
      </c>
      <c r="S4">
        <v>5.7532250471905987E-2</v>
      </c>
      <c r="T4">
        <v>5.7532250471905987E-2</v>
      </c>
      <c r="U4">
        <v>4.0400080520926689E-2</v>
      </c>
      <c r="V4">
        <v>4.0400080520926689E-2</v>
      </c>
      <c r="W4">
        <v>6.1371144566702458E-2</v>
      </c>
      <c r="X4">
        <v>6.1371144566702458E-2</v>
      </c>
      <c r="Y4">
        <v>6.1371144566702458E-2</v>
      </c>
      <c r="Z4">
        <v>6.1371144566702458E-2</v>
      </c>
      <c r="AA4">
        <v>4.1928722007473697E-2</v>
      </c>
      <c r="AB4">
        <v>4.1928722007473697E-2</v>
      </c>
      <c r="AC4">
        <v>4.1928722007473697E-2</v>
      </c>
      <c r="AD4">
        <v>4.1928722007473697E-2</v>
      </c>
      <c r="AE4">
        <v>2.9131872311022992E-2</v>
      </c>
      <c r="AF4">
        <v>2.9131872311022992E-2</v>
      </c>
      <c r="AG4">
        <v>2.9131872311022992E-2</v>
      </c>
      <c r="AH4">
        <v>2.9131872311022992E-2</v>
      </c>
      <c r="AI4">
        <v>6.1371144566702458E-2</v>
      </c>
      <c r="AJ4">
        <v>6.1371144566702458E-2</v>
      </c>
      <c r="AK4">
        <v>6.1371144566702458E-2</v>
      </c>
      <c r="AL4">
        <v>6.1371144566702458E-2</v>
      </c>
      <c r="AM4">
        <v>4.1928722007473697E-2</v>
      </c>
      <c r="AN4">
        <v>4.1928722007473697E-2</v>
      </c>
      <c r="AO4">
        <v>4.1928722007473697E-2</v>
      </c>
      <c r="AP4">
        <v>4.1928722007473697E-2</v>
      </c>
      <c r="AQ4">
        <v>2.9131872311022992E-2</v>
      </c>
      <c r="AR4">
        <v>2.9131872311022992E-2</v>
      </c>
      <c r="AS4">
        <v>2.9131872311022992E-2</v>
      </c>
      <c r="AT4">
        <v>2.9131872311022992E-2</v>
      </c>
      <c r="AU4">
        <v>6.1371144566702458E-2</v>
      </c>
      <c r="AV4">
        <v>6.1371144566702458E-2</v>
      </c>
      <c r="AW4">
        <v>6.1371144566702458E-2</v>
      </c>
      <c r="AX4">
        <v>6.1371144566702458E-2</v>
      </c>
      <c r="AY4">
        <v>4.1928722007473697E-2</v>
      </c>
      <c r="AZ4">
        <v>4.1928722007473697E-2</v>
      </c>
      <c r="BA4">
        <v>4.1928722007473697E-2</v>
      </c>
      <c r="BB4">
        <v>4.1928722007473697E-2</v>
      </c>
      <c r="BC4">
        <v>2.9131872311022992E-2</v>
      </c>
      <c r="BD4">
        <v>2.9131872311022992E-2</v>
      </c>
      <c r="BE4">
        <v>2.9131872311022992E-2</v>
      </c>
      <c r="BF4">
        <v>2.9131872311022992E-2</v>
      </c>
      <c r="BG4">
        <v>2.9131872311022992E-2</v>
      </c>
      <c r="BH4">
        <v>4.3697808466534489E-2</v>
      </c>
      <c r="BI4">
        <v>4.3697808466534489E-2</v>
      </c>
      <c r="BJ4">
        <v>6.1371144566702458E-2</v>
      </c>
      <c r="BK4">
        <v>4.1928722007473697E-2</v>
      </c>
      <c r="BL4">
        <v>2.9131872311022992E-2</v>
      </c>
      <c r="BM4">
        <v>3.9E-2</v>
      </c>
      <c r="BN4">
        <v>3.5000000000000003E-2</v>
      </c>
      <c r="BO4">
        <v>6.1371144566702458E-2</v>
      </c>
      <c r="BP4">
        <v>6.1371144566702458E-2</v>
      </c>
      <c r="BQ4">
        <v>6.1371144566702458E-2</v>
      </c>
      <c r="BR4">
        <v>6.1371144566702458E-2</v>
      </c>
      <c r="BS4">
        <v>6.1371144566702458E-2</v>
      </c>
      <c r="BT4">
        <v>6.1371144566702458E-2</v>
      </c>
      <c r="BU4">
        <v>6.1371144566702458E-2</v>
      </c>
      <c r="BV4">
        <v>6.1371144566702458E-2</v>
      </c>
      <c r="BW4">
        <v>6.1371144566702458E-2</v>
      </c>
      <c r="BX4">
        <v>6.1371144566702458E-2</v>
      </c>
      <c r="BY4">
        <v>5.0735066177823231E-2</v>
      </c>
      <c r="BZ4">
        <v>3.307038297779636E-2</v>
      </c>
      <c r="CA4">
        <v>3.9774786458377738E-2</v>
      </c>
      <c r="CB4">
        <v>2.3879196413956624E-2</v>
      </c>
      <c r="CC4">
        <v>6.1371144566702458E-2</v>
      </c>
      <c r="CD4">
        <v>4.0400080520926689E-2</v>
      </c>
      <c r="CE4">
        <v>0.10935251539774826</v>
      </c>
      <c r="CF4">
        <v>6.3170267336726357E-2</v>
      </c>
      <c r="CG4">
        <v>4.1777284165672071E-2</v>
      </c>
      <c r="CH4">
        <v>2.508141622024064E-2</v>
      </c>
      <c r="CI4">
        <v>7.0000000000000007E-2</v>
      </c>
      <c r="CJ4">
        <v>5.6000000000000001E-2</v>
      </c>
      <c r="CK4">
        <v>4.8000000000000001E-2</v>
      </c>
    </row>
    <row r="5" spans="1:89" x14ac:dyDescent="0.3">
      <c r="A5">
        <v>4</v>
      </c>
      <c r="C5">
        <v>0.12017547209800519</v>
      </c>
      <c r="D5">
        <v>5.4283116609434433E-2</v>
      </c>
      <c r="E5">
        <v>3.5482691714609368E-2</v>
      </c>
      <c r="F5">
        <v>2.7871365927849452E-2</v>
      </c>
      <c r="G5">
        <v>0.06</v>
      </c>
      <c r="H5">
        <v>4.4999999999999998E-2</v>
      </c>
      <c r="I5">
        <v>0.03</v>
      </c>
      <c r="M5">
        <v>5.5545990925774613E-2</v>
      </c>
      <c r="P5">
        <v>7.6217106309184865E-2</v>
      </c>
      <c r="S5">
        <v>7.6217106309184865E-2</v>
      </c>
      <c r="T5">
        <v>7.6217106309184865E-2</v>
      </c>
      <c r="U5">
        <v>3.5301589006757748E-2</v>
      </c>
      <c r="V5">
        <v>3.5301589006757748E-2</v>
      </c>
      <c r="AA5">
        <v>5.5545990925774613E-2</v>
      </c>
      <c r="AB5">
        <v>5.5545990925774613E-2</v>
      </c>
      <c r="AC5">
        <v>5.5545990925774613E-2</v>
      </c>
      <c r="AD5">
        <v>5.5545990925774613E-2</v>
      </c>
      <c r="AE5">
        <v>2.5455429050157016E-2</v>
      </c>
      <c r="AF5">
        <v>2.5455429050157016E-2</v>
      </c>
      <c r="AG5">
        <v>2.5455429050157016E-2</v>
      </c>
      <c r="AH5">
        <v>2.5455429050157016E-2</v>
      </c>
      <c r="AM5">
        <v>5.5545990925774613E-2</v>
      </c>
      <c r="AN5">
        <v>5.5545990925774613E-2</v>
      </c>
      <c r="AO5">
        <v>5.5545990925774613E-2</v>
      </c>
      <c r="AP5">
        <v>5.5545990925774613E-2</v>
      </c>
      <c r="AQ5">
        <v>2.5455429050157016E-2</v>
      </c>
      <c r="AR5">
        <v>2.5455429050157016E-2</v>
      </c>
      <c r="AS5">
        <v>2.5455429050157016E-2</v>
      </c>
      <c r="AT5">
        <v>2.5455429050157016E-2</v>
      </c>
      <c r="AY5">
        <v>5.5545990925774613E-2</v>
      </c>
      <c r="AZ5">
        <v>5.5545990925774613E-2</v>
      </c>
      <c r="BA5">
        <v>5.5545990925774613E-2</v>
      </c>
      <c r="BB5">
        <v>5.5545990925774613E-2</v>
      </c>
      <c r="BC5">
        <v>2.5455429050157016E-2</v>
      </c>
      <c r="BD5">
        <v>2.5455429050157016E-2</v>
      </c>
      <c r="BE5">
        <v>2.5455429050157016E-2</v>
      </c>
      <c r="BF5">
        <v>2.5455429050157016E-2</v>
      </c>
      <c r="BG5">
        <v>2.5455429050157016E-2</v>
      </c>
      <c r="BH5">
        <v>3.8183143575235522E-2</v>
      </c>
      <c r="BI5">
        <v>3.8183143575235522E-2</v>
      </c>
      <c r="BK5">
        <v>5.5545990925774613E-2</v>
      </c>
      <c r="BL5">
        <v>2.5455429050157016E-2</v>
      </c>
      <c r="BM5">
        <v>4.3999999999999997E-2</v>
      </c>
      <c r="BN5">
        <v>0.04</v>
      </c>
      <c r="BY5">
        <v>5.1719345754469563E-2</v>
      </c>
      <c r="BZ5">
        <v>3.3806857743466159E-2</v>
      </c>
      <c r="CA5">
        <v>3.8192666845150304E-2</v>
      </c>
      <c r="CB5">
        <v>2.4341818092293546E-2</v>
      </c>
      <c r="CD5">
        <v>3.5301589006757748E-2</v>
      </c>
      <c r="CE5">
        <v>0.1205336077722534</v>
      </c>
      <c r="CF5">
        <v>6.0646889166786379E-2</v>
      </c>
      <c r="CG5">
        <v>4.0115511305243198E-2</v>
      </c>
      <c r="CH5">
        <v>2.556732900665639E-2</v>
      </c>
      <c r="CI5">
        <v>7.0000000000000007E-2</v>
      </c>
      <c r="CJ5">
        <v>5.6000000000000001E-2</v>
      </c>
      <c r="CK5">
        <v>4.2000000000000003E-2</v>
      </c>
    </row>
    <row r="6" spans="1:89" x14ac:dyDescent="0.3">
      <c r="A6">
        <v>5</v>
      </c>
      <c r="C6">
        <v>0.19757219530655307</v>
      </c>
      <c r="D6">
        <v>5.4772378878814303E-2</v>
      </c>
      <c r="E6">
        <v>3.7439795816501246E-2</v>
      </c>
      <c r="F6">
        <v>2.3758661217038617E-2</v>
      </c>
      <c r="G6">
        <v>0.06</v>
      </c>
      <c r="H6">
        <v>4.4999999999999998E-2</v>
      </c>
      <c r="I6">
        <v>0.03</v>
      </c>
      <c r="M6">
        <v>8.8283742423886133E-2</v>
      </c>
      <c r="P6">
        <v>0.12113802039620718</v>
      </c>
      <c r="S6">
        <v>0.12113802039620718</v>
      </c>
      <c r="T6">
        <v>0.12113802039620718</v>
      </c>
      <c r="U6">
        <v>3.5301589006757748E-2</v>
      </c>
      <c r="V6">
        <v>3.5301589006757748E-2</v>
      </c>
      <c r="AA6">
        <v>8.8283742423886133E-2</v>
      </c>
      <c r="AB6">
        <v>8.8283742423886133E-2</v>
      </c>
      <c r="AC6">
        <v>8.8283742423886133E-2</v>
      </c>
      <c r="AD6">
        <v>8.8283742423886133E-2</v>
      </c>
      <c r="AE6">
        <v>2.5455429050157016E-2</v>
      </c>
      <c r="AF6">
        <v>2.5455429050157016E-2</v>
      </c>
      <c r="AG6">
        <v>2.5455429050157016E-2</v>
      </c>
      <c r="AH6">
        <v>2.5455429050157016E-2</v>
      </c>
      <c r="AM6">
        <v>8.8283742423886133E-2</v>
      </c>
      <c r="AN6">
        <v>8.8283742423886133E-2</v>
      </c>
      <c r="AO6">
        <v>8.8283742423886133E-2</v>
      </c>
      <c r="AP6">
        <v>8.8283742423886133E-2</v>
      </c>
      <c r="AQ6">
        <v>2.5455429050157016E-2</v>
      </c>
      <c r="AR6">
        <v>2.5455429050157016E-2</v>
      </c>
      <c r="AS6">
        <v>2.5455429050157016E-2</v>
      </c>
      <c r="AT6">
        <v>2.5455429050157016E-2</v>
      </c>
      <c r="AY6">
        <v>8.8283742423886133E-2</v>
      </c>
      <c r="AZ6">
        <v>8.8283742423886133E-2</v>
      </c>
      <c r="BA6">
        <v>8.8283742423886133E-2</v>
      </c>
      <c r="BB6">
        <v>8.8283742423886133E-2</v>
      </c>
      <c r="BC6">
        <v>2.5455429050157016E-2</v>
      </c>
      <c r="BD6">
        <v>2.5455429050157016E-2</v>
      </c>
      <c r="BE6">
        <v>2.5455429050157016E-2</v>
      </c>
      <c r="BF6">
        <v>2.5455429050157016E-2</v>
      </c>
      <c r="BG6">
        <v>2.5455429050157016E-2</v>
      </c>
      <c r="BH6">
        <v>3.8183143575235522E-2</v>
      </c>
      <c r="BI6">
        <v>3.8183143575235522E-2</v>
      </c>
      <c r="BK6">
        <v>8.8283742423886133E-2</v>
      </c>
      <c r="BL6">
        <v>2.5455429050157016E-2</v>
      </c>
      <c r="BM6">
        <v>0.05</v>
      </c>
      <c r="BN6">
        <v>0.04</v>
      </c>
      <c r="BY6">
        <v>5.218550035382203E-2</v>
      </c>
      <c r="BZ6">
        <v>3.5671528566468325E-2</v>
      </c>
      <c r="CA6">
        <v>3.6894610193830904E-2</v>
      </c>
      <c r="CB6">
        <v>2.3940027457041775E-2</v>
      </c>
      <c r="CD6">
        <v>3.5301589006757748E-2</v>
      </c>
      <c r="CE6">
        <v>0.14001461628196663</v>
      </c>
      <c r="CF6">
        <v>6.1915996807844993E-2</v>
      </c>
      <c r="CG6">
        <v>3.8752102814236987E-2</v>
      </c>
      <c r="CH6">
        <v>2.514530985737486E-2</v>
      </c>
      <c r="CI6">
        <v>7.0000000000000007E-2</v>
      </c>
      <c r="CJ6">
        <v>5.6000000000000001E-2</v>
      </c>
      <c r="CK6">
        <v>3.2000000000000001E-2</v>
      </c>
    </row>
    <row r="7" spans="1:89" x14ac:dyDescent="0.3">
      <c r="A7">
        <v>6</v>
      </c>
      <c r="C7">
        <v>0.27934315289630068</v>
      </c>
      <c r="D7">
        <v>5.424475681317073E-2</v>
      </c>
      <c r="E7">
        <v>3.9737887495065009E-2</v>
      </c>
      <c r="F7">
        <v>2.5792206848164051E-2</v>
      </c>
      <c r="G7">
        <v>0.06</v>
      </c>
      <c r="H7">
        <v>4.4999999999999998E-2</v>
      </c>
      <c r="I7">
        <v>0.03</v>
      </c>
      <c r="M7">
        <v>0.11665418049624583</v>
      </c>
      <c r="P7">
        <v>0.16006635093024438</v>
      </c>
      <c r="S7">
        <v>0.16006635093024438</v>
      </c>
      <c r="T7">
        <v>0.16006635093024438</v>
      </c>
      <c r="U7">
        <v>3.4580518716163848E-2</v>
      </c>
      <c r="V7">
        <v>3.4580518716163848E-2</v>
      </c>
      <c r="AA7">
        <v>0.11665418049624583</v>
      </c>
      <c r="AB7">
        <v>0.11665418049624583</v>
      </c>
      <c r="AC7">
        <v>0.11665418049624583</v>
      </c>
      <c r="AD7">
        <v>0.11665418049624583</v>
      </c>
      <c r="AE7">
        <v>2.4935476432191989E-2</v>
      </c>
      <c r="AF7">
        <v>2.4935476432191989E-2</v>
      </c>
      <c r="AG7">
        <v>2.4935476432191989E-2</v>
      </c>
      <c r="AH7">
        <v>2.4935476432191989E-2</v>
      </c>
      <c r="AM7">
        <v>0.11665418049624583</v>
      </c>
      <c r="AN7">
        <v>0.11665418049624583</v>
      </c>
      <c r="AO7">
        <v>0.11665418049624583</v>
      </c>
      <c r="AP7">
        <v>0.11665418049624583</v>
      </c>
      <c r="AQ7">
        <v>2.4935476432191989E-2</v>
      </c>
      <c r="AR7">
        <v>2.4935476432191989E-2</v>
      </c>
      <c r="AS7">
        <v>2.4935476432191989E-2</v>
      </c>
      <c r="AT7">
        <v>2.4935476432191989E-2</v>
      </c>
      <c r="AY7">
        <v>0.11665418049624583</v>
      </c>
      <c r="AZ7">
        <v>0.11665418049624583</v>
      </c>
      <c r="BA7">
        <v>0.11665418049624583</v>
      </c>
      <c r="BB7">
        <v>0.11665418049624583</v>
      </c>
      <c r="BC7">
        <v>2.4935476432191989E-2</v>
      </c>
      <c r="BD7">
        <v>2.4935476432191989E-2</v>
      </c>
      <c r="BE7">
        <v>2.4935476432191989E-2</v>
      </c>
      <c r="BF7">
        <v>2.4935476432191989E-2</v>
      </c>
      <c r="BG7">
        <v>2.4935476432191989E-2</v>
      </c>
      <c r="BH7">
        <v>3.7403214648287983E-2</v>
      </c>
      <c r="BI7">
        <v>3.7403214648287983E-2</v>
      </c>
      <c r="BK7">
        <v>0.11665418049624583</v>
      </c>
      <c r="BL7">
        <v>2.4935476432191989E-2</v>
      </c>
      <c r="BM7">
        <v>0.05</v>
      </c>
      <c r="BN7">
        <v>4.3999999999999997E-2</v>
      </c>
      <c r="BY7">
        <v>5.1682797676725477E-2</v>
      </c>
      <c r="BZ7">
        <v>3.7861082253193297E-2</v>
      </c>
      <c r="CA7">
        <v>3.6372925860745531E-2</v>
      </c>
      <c r="CB7">
        <v>2.4371181954787172E-2</v>
      </c>
      <c r="CD7">
        <v>3.4580518716163848E-2</v>
      </c>
      <c r="CE7">
        <v>0.18382748015322814</v>
      </c>
      <c r="CF7">
        <v>6.0026785118253767E-2</v>
      </c>
      <c r="CG7">
        <v>3.820415381013878E-2</v>
      </c>
      <c r="CH7">
        <v>2.5598171219445683E-2</v>
      </c>
      <c r="CI7">
        <v>7.0000000000000007E-2</v>
      </c>
      <c r="CJ7">
        <v>5.6000000000000001E-2</v>
      </c>
      <c r="CK7">
        <v>3.2000000000000001E-2</v>
      </c>
    </row>
    <row r="8" spans="1:89" x14ac:dyDescent="0.3">
      <c r="A8">
        <v>7</v>
      </c>
      <c r="D8">
        <v>5.6489570961664196E-2</v>
      </c>
      <c r="E8">
        <v>3.4907694810767734E-2</v>
      </c>
      <c r="F8">
        <v>2.1222931267251222E-2</v>
      </c>
      <c r="G8">
        <v>7.0000000000000007E-2</v>
      </c>
      <c r="H8">
        <v>4.4999999999999998E-2</v>
      </c>
      <c r="I8">
        <v>0.03</v>
      </c>
      <c r="U8">
        <v>3.4580518716163848E-2</v>
      </c>
      <c r="V8">
        <v>3.4580518716163848E-2</v>
      </c>
      <c r="AE8">
        <v>2.4935476432191989E-2</v>
      </c>
      <c r="AF8">
        <v>2.4935476432191989E-2</v>
      </c>
      <c r="AG8">
        <v>2.4935476432191989E-2</v>
      </c>
      <c r="AH8">
        <v>2.4935476432191989E-2</v>
      </c>
      <c r="AQ8">
        <v>2.4935476432191989E-2</v>
      </c>
      <c r="AR8">
        <v>2.4935476432191989E-2</v>
      </c>
      <c r="AS8">
        <v>2.4935476432191989E-2</v>
      </c>
      <c r="AT8">
        <v>2.4935476432191989E-2</v>
      </c>
      <c r="BC8">
        <v>2.4935476432191989E-2</v>
      </c>
      <c r="BD8">
        <v>2.4935476432191989E-2</v>
      </c>
      <c r="BE8">
        <v>2.4935476432191989E-2</v>
      </c>
      <c r="BF8">
        <v>2.4935476432191989E-2</v>
      </c>
      <c r="BG8">
        <v>2.4935476432191989E-2</v>
      </c>
      <c r="BH8">
        <v>3.7403214648287983E-2</v>
      </c>
      <c r="BI8">
        <v>3.7403214648287983E-2</v>
      </c>
      <c r="BL8">
        <v>2.4935476432191989E-2</v>
      </c>
      <c r="BM8">
        <v>0.06</v>
      </c>
      <c r="BN8">
        <v>4.3999999999999997E-2</v>
      </c>
      <c r="BY8">
        <v>5.382159011076712E-2</v>
      </c>
      <c r="BZ8">
        <v>3.3259017723676905E-2</v>
      </c>
      <c r="CA8">
        <v>3.9268802895594923E-2</v>
      </c>
      <c r="CB8">
        <v>2.3149748541968579E-2</v>
      </c>
      <c r="CD8">
        <v>3.4580518716163848E-2</v>
      </c>
      <c r="CF8">
        <v>6.1692944597322961E-2</v>
      </c>
      <c r="CG8">
        <v>4.1245826401400794E-2</v>
      </c>
      <c r="CH8">
        <v>2.4315243633393966E-2</v>
      </c>
      <c r="CI8">
        <v>7.0000000000000007E-2</v>
      </c>
      <c r="CJ8">
        <v>5.6000000000000001E-2</v>
      </c>
      <c r="CK8">
        <v>3.2000000000000001E-2</v>
      </c>
    </row>
    <row r="9" spans="1:89" x14ac:dyDescent="0.3">
      <c r="A9">
        <v>8</v>
      </c>
      <c r="D9">
        <v>5.9411377136750931E-2</v>
      </c>
      <c r="E9">
        <v>3.5885355926997528E-2</v>
      </c>
      <c r="F9">
        <v>2.9632548216133221E-2</v>
      </c>
      <c r="G9">
        <v>0.08</v>
      </c>
      <c r="H9">
        <v>4.4999999999999998E-2</v>
      </c>
      <c r="I9">
        <v>0.03</v>
      </c>
      <c r="U9">
        <v>4.5811298004127976E-2</v>
      </c>
      <c r="V9">
        <v>4.5811298004127976E-2</v>
      </c>
      <c r="AE9">
        <v>3.3033817424378407E-2</v>
      </c>
      <c r="AF9">
        <v>3.3033817424378407E-2</v>
      </c>
      <c r="AG9">
        <v>3.3033817424378407E-2</v>
      </c>
      <c r="AH9">
        <v>3.3033817424378407E-2</v>
      </c>
      <c r="AQ9">
        <v>3.3033817424378407E-2</v>
      </c>
      <c r="AR9">
        <v>3.3033817424378407E-2</v>
      </c>
      <c r="AS9">
        <v>3.3033817424378407E-2</v>
      </c>
      <c r="AT9">
        <v>3.3033817424378407E-2</v>
      </c>
      <c r="BC9">
        <v>3.3033817424378407E-2</v>
      </c>
      <c r="BD9">
        <v>3.3033817424378407E-2</v>
      </c>
      <c r="BE9">
        <v>3.3033817424378407E-2</v>
      </c>
      <c r="BF9">
        <v>3.3033817424378407E-2</v>
      </c>
      <c r="BG9">
        <v>3.3033817424378407E-2</v>
      </c>
      <c r="BH9">
        <v>0.11596866471176306</v>
      </c>
      <c r="BI9">
        <v>0.11596866471176306</v>
      </c>
      <c r="BL9">
        <v>3.3033817424378407E-2</v>
      </c>
      <c r="BM9">
        <v>0.11</v>
      </c>
      <c r="BN9">
        <v>4.3999999999999997E-2</v>
      </c>
      <c r="BY9">
        <v>5.6605400496676159E-2</v>
      </c>
      <c r="BZ9">
        <v>3.419050427896804E-2</v>
      </c>
      <c r="CA9">
        <v>3.8258357906335839E-2</v>
      </c>
      <c r="CB9">
        <v>2.2225741123811319E-2</v>
      </c>
      <c r="CD9">
        <v>4.5811298004127976E-2</v>
      </c>
      <c r="CF9">
        <v>6.3714385423278827E-2</v>
      </c>
      <c r="CG9">
        <v>4.0184509642497999E-2</v>
      </c>
      <c r="CH9">
        <v>2.3344716223524895E-2</v>
      </c>
      <c r="CI9">
        <v>0.08</v>
      </c>
      <c r="CJ9">
        <v>5.6000000000000001E-2</v>
      </c>
      <c r="CK9">
        <v>3.2000000000000001E-2</v>
      </c>
    </row>
    <row r="10" spans="1:89" x14ac:dyDescent="0.3">
      <c r="A10">
        <v>9</v>
      </c>
      <c r="D10">
        <v>6.6709985460511462E-2</v>
      </c>
      <c r="E10">
        <v>4.0163946994567414E-2</v>
      </c>
      <c r="F10">
        <v>2.9565745534204081E-2</v>
      </c>
      <c r="G10">
        <v>0.15</v>
      </c>
      <c r="H10">
        <v>4.4999999999999998E-2</v>
      </c>
      <c r="I10">
        <v>0.03</v>
      </c>
      <c r="U10">
        <v>4.5811298004127976E-2</v>
      </c>
      <c r="V10">
        <v>4.5811298004127976E-2</v>
      </c>
      <c r="AE10">
        <v>3.3033817424378407E-2</v>
      </c>
      <c r="AF10">
        <v>3.3033817424378407E-2</v>
      </c>
      <c r="AG10">
        <v>3.3033817424378407E-2</v>
      </c>
      <c r="AH10">
        <v>3.3033817424378407E-2</v>
      </c>
      <c r="AQ10">
        <v>3.3033817424378407E-2</v>
      </c>
      <c r="AR10">
        <v>3.3033817424378407E-2</v>
      </c>
      <c r="AS10">
        <v>3.3033817424378407E-2</v>
      </c>
      <c r="AT10">
        <v>3.3033817424378407E-2</v>
      </c>
      <c r="BC10">
        <v>3.3033817424378407E-2</v>
      </c>
      <c r="BD10">
        <v>3.3033817424378407E-2</v>
      </c>
      <c r="BE10">
        <v>3.3033817424378407E-2</v>
      </c>
      <c r="BF10">
        <v>3.3033817424378407E-2</v>
      </c>
      <c r="BG10">
        <v>3.3033817424378407E-2</v>
      </c>
      <c r="BL10">
        <v>3.3033817424378407E-2</v>
      </c>
      <c r="BN10">
        <v>0.06</v>
      </c>
      <c r="BY10">
        <v>6.3559298338227405E-2</v>
      </c>
      <c r="BZ10">
        <v>3.8267019125338753E-2</v>
      </c>
      <c r="CA10">
        <v>3.7784305020186391E-2</v>
      </c>
      <c r="CB10">
        <v>2.7951725383157631E-2</v>
      </c>
      <c r="CD10">
        <v>4.5811298004127976E-2</v>
      </c>
      <c r="CF10">
        <v>6.8177468078621545E-2</v>
      </c>
      <c r="CG10">
        <v>3.9686590133742192E-2</v>
      </c>
      <c r="CH10">
        <v>2.935898035492893E-2</v>
      </c>
      <c r="CI10">
        <v>0.13</v>
      </c>
      <c r="CJ10">
        <v>5.7000000000000002E-2</v>
      </c>
      <c r="CK10">
        <v>3.2000000000000001E-2</v>
      </c>
    </row>
    <row r="11" spans="1:89" x14ac:dyDescent="0.3">
      <c r="A11">
        <v>10</v>
      </c>
      <c r="D11">
        <v>8.1659323727076558E-2</v>
      </c>
      <c r="E11">
        <v>3.6182784247796689E-2</v>
      </c>
      <c r="F11">
        <v>3.0828750865728068E-2</v>
      </c>
      <c r="G11">
        <v>0.23</v>
      </c>
      <c r="H11">
        <v>4.4999999999999998E-2</v>
      </c>
      <c r="I11">
        <v>0.03</v>
      </c>
      <c r="U11">
        <v>7.2811606484881899E-2</v>
      </c>
      <c r="V11">
        <v>7.2811606484881899E-2</v>
      </c>
      <c r="AE11">
        <v>5.2503321664898975E-2</v>
      </c>
      <c r="AF11">
        <v>5.2503321664898975E-2</v>
      </c>
      <c r="AG11">
        <v>5.2503321664898975E-2</v>
      </c>
      <c r="AH11">
        <v>5.2503321664898975E-2</v>
      </c>
      <c r="AQ11">
        <v>5.2503321664898975E-2</v>
      </c>
      <c r="AR11">
        <v>5.2503321664898975E-2</v>
      </c>
      <c r="AS11">
        <v>5.2503321664898975E-2</v>
      </c>
      <c r="AT11">
        <v>5.2503321664898975E-2</v>
      </c>
      <c r="BC11">
        <v>5.2503321664898975E-2</v>
      </c>
      <c r="BD11">
        <v>5.2503321664898975E-2</v>
      </c>
      <c r="BE11">
        <v>5.2503321664898975E-2</v>
      </c>
      <c r="BF11">
        <v>5.2503321664898975E-2</v>
      </c>
      <c r="BG11">
        <v>5.2503321664898975E-2</v>
      </c>
      <c r="BL11">
        <v>5.2503321664898975E-2</v>
      </c>
      <c r="BN11">
        <v>0.11</v>
      </c>
      <c r="BY11">
        <v>7.7802585070858105E-2</v>
      </c>
      <c r="BZ11">
        <v>3.447388517382826E-2</v>
      </c>
      <c r="CA11">
        <v>3.9470382881756867E-2</v>
      </c>
      <c r="CB11">
        <v>2.4816805824940485E-2</v>
      </c>
      <c r="CD11">
        <v>7.2811606484881899E-2</v>
      </c>
      <c r="CF11">
        <v>8.5589652155176568E-2</v>
      </c>
      <c r="CG11">
        <v>4.1457555114836182E-2</v>
      </c>
      <c r="CH11">
        <v>2.606623042760468E-2</v>
      </c>
      <c r="CI11">
        <v>0.16</v>
      </c>
      <c r="CJ11">
        <v>5.7000000000000002E-2</v>
      </c>
      <c r="CK11">
        <v>3.2000000000000001E-2</v>
      </c>
    </row>
    <row r="12" spans="1:89" x14ac:dyDescent="0.3">
      <c r="A12">
        <v>11</v>
      </c>
      <c r="D12">
        <v>0.14847544007004654</v>
      </c>
      <c r="E12">
        <v>4.1062910867257343E-2</v>
      </c>
      <c r="F12">
        <v>3.8167370639406568E-2</v>
      </c>
      <c r="H12">
        <v>0.05</v>
      </c>
      <c r="I12">
        <v>0.03</v>
      </c>
      <c r="U12">
        <v>0.10030311831774909</v>
      </c>
      <c r="V12">
        <v>0.10030311831774909</v>
      </c>
      <c r="AE12">
        <v>7.2327025034431128E-2</v>
      </c>
      <c r="AF12">
        <v>7.2327025034431128E-2</v>
      </c>
      <c r="AG12">
        <v>7.2327025034431128E-2</v>
      </c>
      <c r="AH12">
        <v>7.2327025034431128E-2</v>
      </c>
      <c r="AQ12">
        <v>7.2327025034431128E-2</v>
      </c>
      <c r="AR12">
        <v>7.2327025034431128E-2</v>
      </c>
      <c r="AS12">
        <v>7.2327025034431128E-2</v>
      </c>
      <c r="AT12">
        <v>7.2327025034431128E-2</v>
      </c>
      <c r="BC12">
        <v>7.2327025034431128E-2</v>
      </c>
      <c r="BD12">
        <v>7.2327025034431128E-2</v>
      </c>
      <c r="BE12">
        <v>7.2327025034431128E-2</v>
      </c>
      <c r="BF12">
        <v>7.2327025034431128E-2</v>
      </c>
      <c r="BG12">
        <v>7.2327025034431128E-2</v>
      </c>
      <c r="BL12">
        <v>7.2327025034431128E-2</v>
      </c>
      <c r="BY12">
        <v>0.14146300177051993</v>
      </c>
      <c r="BZ12">
        <v>3.9123525277830869E-2</v>
      </c>
      <c r="CA12">
        <v>4.0068103660230739E-2</v>
      </c>
      <c r="CB12">
        <v>2.3766885170742897E-2</v>
      </c>
      <c r="CD12">
        <v>0.10030311831774909</v>
      </c>
      <c r="CF12">
        <v>0.12657166897801994</v>
      </c>
      <c r="CG12">
        <v>4.2085368688145011E-2</v>
      </c>
      <c r="CH12">
        <v>2.4963450565600363E-2</v>
      </c>
      <c r="CJ12">
        <v>5.7000000000000002E-2</v>
      </c>
      <c r="CK12">
        <v>3.2000000000000001E-2</v>
      </c>
    </row>
    <row r="13" spans="1:89" x14ac:dyDescent="0.3">
      <c r="A13">
        <v>12</v>
      </c>
      <c r="D13">
        <v>0.22009500288419004</v>
      </c>
      <c r="E13">
        <v>4.379840670389578E-2</v>
      </c>
      <c r="F13">
        <v>3.0832403793269521E-2</v>
      </c>
      <c r="H13">
        <v>7.0000000000000007E-2</v>
      </c>
      <c r="I13">
        <v>0.03</v>
      </c>
      <c r="U13">
        <v>0.16082534422227301</v>
      </c>
      <c r="V13">
        <v>0.16082534422227301</v>
      </c>
      <c r="AE13">
        <v>0.11596866471176306</v>
      </c>
      <c r="AF13">
        <v>0.11596866471176306</v>
      </c>
      <c r="AG13">
        <v>0.11596866471176306</v>
      </c>
      <c r="AH13">
        <v>0.11596866471176306</v>
      </c>
      <c r="AQ13">
        <v>0.11596866471176306</v>
      </c>
      <c r="AR13">
        <v>0.11596866471176306</v>
      </c>
      <c r="AS13">
        <v>0.11596866471176306</v>
      </c>
      <c r="AT13">
        <v>0.11596866471176306</v>
      </c>
      <c r="BC13">
        <v>0.11596866471176306</v>
      </c>
      <c r="BD13">
        <v>0.11596866471176306</v>
      </c>
      <c r="BE13">
        <v>0.11596866471176306</v>
      </c>
      <c r="BF13">
        <v>0.11596866471176306</v>
      </c>
      <c r="BG13">
        <v>0.11596866471176306</v>
      </c>
      <c r="BL13">
        <v>0.11596866471176306</v>
      </c>
      <c r="BY13">
        <v>0.2097</v>
      </c>
      <c r="BZ13">
        <v>4.1729824691384185E-2</v>
      </c>
      <c r="CA13">
        <v>3.9653622898726967E-2</v>
      </c>
      <c r="CB13">
        <v>2.7194926198881759E-2</v>
      </c>
      <c r="CD13">
        <v>0.16082534422227301</v>
      </c>
      <c r="CF13">
        <v>0.15501632079550534</v>
      </c>
      <c r="CG13">
        <v>4.1650020516693038E-2</v>
      </c>
      <c r="CH13">
        <v>2.8564079429164627E-2</v>
      </c>
      <c r="CJ13">
        <v>5.8000000000000003E-2</v>
      </c>
      <c r="CK13">
        <v>3.2000000000000001E-2</v>
      </c>
    </row>
    <row r="14" spans="1:89" x14ac:dyDescent="0.3">
      <c r="A14">
        <v>13</v>
      </c>
      <c r="E14">
        <v>4.4275012374572799E-2</v>
      </c>
      <c r="F14">
        <v>3.0895518718847242E-2</v>
      </c>
      <c r="H14">
        <v>0.13</v>
      </c>
      <c r="I14">
        <v>0.03</v>
      </c>
      <c r="BZ14">
        <v>4.2183920458354229E-2</v>
      </c>
      <c r="CA14">
        <v>4.1587882015210569E-2</v>
      </c>
      <c r="CB14">
        <v>2.7466482874844846E-2</v>
      </c>
      <c r="CG14">
        <v>4.3681661663124809E-2</v>
      </c>
      <c r="CH14">
        <v>2.8849307872330931E-2</v>
      </c>
      <c r="CJ14">
        <v>9.8000000000000004E-2</v>
      </c>
      <c r="CK14">
        <v>3.2000000000000001E-2</v>
      </c>
    </row>
    <row r="15" spans="1:89" x14ac:dyDescent="0.3">
      <c r="A15">
        <v>14</v>
      </c>
      <c r="E15">
        <v>4.3314271123342955E-2</v>
      </c>
      <c r="F15">
        <v>2.8723292961372972E-2</v>
      </c>
      <c r="H15">
        <v>0.2</v>
      </c>
      <c r="I15">
        <v>0.03</v>
      </c>
      <c r="BZ15">
        <v>4.1268554649304463E-2</v>
      </c>
      <c r="CA15">
        <v>4.3048770715806997E-2</v>
      </c>
      <c r="CB15">
        <v>2.7301685606822331E-2</v>
      </c>
      <c r="CG15">
        <v>4.5216100130647523E-2</v>
      </c>
      <c r="CH15">
        <v>2.8676213736348388E-2</v>
      </c>
      <c r="CJ15">
        <v>0.125</v>
      </c>
      <c r="CK15">
        <v>3.2000000000000001E-2</v>
      </c>
    </row>
    <row r="16" spans="1:89" x14ac:dyDescent="0.3">
      <c r="A16">
        <v>15</v>
      </c>
      <c r="E16">
        <v>4.8749252320648015E-2</v>
      </c>
      <c r="F16">
        <v>3.267629733463203E-2</v>
      </c>
      <c r="I16">
        <v>0.03</v>
      </c>
      <c r="BZ16">
        <v>4.6446843761459217E-2</v>
      </c>
      <c r="CA16">
        <v>4.9761672267261949E-2</v>
      </c>
      <c r="CB16">
        <v>2.981852379549502E-2</v>
      </c>
      <c r="CG16">
        <v>5.2266968800546924E-2</v>
      </c>
      <c r="CH16">
        <v>3.1319764426864974E-2</v>
      </c>
      <c r="CK16">
        <v>3.2000000000000001E-2</v>
      </c>
    </row>
    <row r="17" spans="1:89" x14ac:dyDescent="0.3">
      <c r="A17">
        <v>16</v>
      </c>
      <c r="E17">
        <v>6.3602331703357093E-2</v>
      </c>
      <c r="F17">
        <v>2.1093038244786633E-2</v>
      </c>
      <c r="I17">
        <v>0.03</v>
      </c>
      <c r="BZ17">
        <v>6.0598417880536277E-2</v>
      </c>
      <c r="CA17">
        <v>6.1216190651871935E-2</v>
      </c>
      <c r="CB17">
        <v>2.7664466992334817E-2</v>
      </c>
      <c r="CG17">
        <v>6.4298175304585162E-2</v>
      </c>
      <c r="CH17">
        <v>2.9057259679823942E-2</v>
      </c>
      <c r="CK17">
        <v>3.2000000000000001E-2</v>
      </c>
    </row>
    <row r="18" spans="1:89" x14ac:dyDescent="0.3">
      <c r="A18">
        <v>17</v>
      </c>
      <c r="E18">
        <v>0.11510571512637802</v>
      </c>
      <c r="F18">
        <v>2.7737116231006241E-2</v>
      </c>
      <c r="I18">
        <v>0.03</v>
      </c>
      <c r="BZ18">
        <v>0.10966931618480349</v>
      </c>
      <c r="CA18">
        <v>9.9021288494842874E-2</v>
      </c>
      <c r="CB18">
        <v>2.7989777771111741E-2</v>
      </c>
      <c r="CG18">
        <v>0.10400660509463791</v>
      </c>
      <c r="CH18">
        <v>2.9398948524875103E-2</v>
      </c>
      <c r="CK18">
        <v>3.2000000000000001E-2</v>
      </c>
    </row>
    <row r="19" spans="1:89" x14ac:dyDescent="0.3">
      <c r="A19">
        <v>18</v>
      </c>
      <c r="E19">
        <v>0.1943217284749463</v>
      </c>
      <c r="F19">
        <v>3.7097547399975318E-2</v>
      </c>
      <c r="I19">
        <v>0.04</v>
      </c>
      <c r="BZ19">
        <v>0.1851439874927</v>
      </c>
      <c r="CA19">
        <v>0.12380584176221808</v>
      </c>
      <c r="CB19">
        <v>2.9991663112368918E-2</v>
      </c>
      <c r="CG19">
        <v>0.13003895918040767</v>
      </c>
      <c r="CH19">
        <v>3.1501620599716097E-2</v>
      </c>
      <c r="CK19">
        <v>6.7000000000000004E-2</v>
      </c>
    </row>
    <row r="20" spans="1:89" x14ac:dyDescent="0.3">
      <c r="A20">
        <v>19</v>
      </c>
      <c r="F20">
        <v>3.5807390962314001E-2</v>
      </c>
      <c r="I20">
        <v>0.14000000000000001</v>
      </c>
      <c r="CB20">
        <v>3.6818572007078401E-2</v>
      </c>
      <c r="CH20">
        <v>3.8672236415991802E-2</v>
      </c>
      <c r="CK20">
        <v>9.8000000000000004E-2</v>
      </c>
    </row>
    <row r="21" spans="1:89" x14ac:dyDescent="0.3">
      <c r="A21">
        <v>20</v>
      </c>
      <c r="F21">
        <v>3.5803371307890977E-2</v>
      </c>
      <c r="I21">
        <v>0.19</v>
      </c>
      <c r="CB21">
        <v>4.4473649674206403E-2</v>
      </c>
      <c r="CH21">
        <v>4.6712715912834844E-2</v>
      </c>
      <c r="CK21">
        <v>0.125</v>
      </c>
    </row>
    <row r="22" spans="1:89" x14ac:dyDescent="0.3">
      <c r="A22">
        <v>21</v>
      </c>
      <c r="F22">
        <v>3.6391389180009115E-2</v>
      </c>
      <c r="CB22">
        <v>4.5817756456585326E-2</v>
      </c>
      <c r="CH22">
        <v>4.8124492970524714E-2</v>
      </c>
    </row>
    <row r="23" spans="1:89" x14ac:dyDescent="0.3">
      <c r="A23">
        <v>22</v>
      </c>
      <c r="F23">
        <v>6.3853619028203412E-2</v>
      </c>
      <c r="CB23">
        <v>6.6279673572925829E-2</v>
      </c>
      <c r="CH23">
        <v>6.961658386680987E-2</v>
      </c>
    </row>
    <row r="24" spans="1:89" x14ac:dyDescent="0.3">
      <c r="A24">
        <v>23</v>
      </c>
      <c r="F24">
        <v>8.6512392572155691E-2</v>
      </c>
      <c r="CB24">
        <v>9.7478301016461669E-2</v>
      </c>
      <c r="CH24">
        <v>0.10238593451188414</v>
      </c>
    </row>
    <row r="25" spans="1:89" x14ac:dyDescent="0.3">
      <c r="A25">
        <v>24</v>
      </c>
      <c r="F25">
        <v>9.6978725615422534E-2</v>
      </c>
      <c r="CB25">
        <v>0.1246294114880088</v>
      </c>
      <c r="CH25">
        <v>0.13090399227117255</v>
      </c>
    </row>
    <row r="26" spans="1:89" x14ac:dyDescent="0.3">
      <c r="B26" t="str">
        <f>_xlfn.CONCAT(B2,";",B3,";",B4,IF(ISBLANK(B5),"",";"),B5,IF(ISBLANK(B6),"",";"),B6,IF(ISBLANK(B7),"",";"),B7,IF(ISBLANK(B8),"",";"),B8,IF(ISBLANK(B9),"",";"),B9,IF(ISBLANK(B10),"",";"),B10,IF(ISBLANK(B11),"",";"),B11,IF(ISBLANK(B12),"",";"),B12,IF(ISBLANK(B13),"",";"),B13,IF(ISBLANK(B14),"",";"),B14,IF(ISBLANK(B15),"",";"),B15,IF(ISBLANK(B16),"",";"),B16,IF(ISBLANK(B17),"",";"),B17,IF(ISBLANK(B18),"",";"),B18,IF(ISBLANK(B19),"",";"),B19,IF(ISBLANK(B20),"",";"),B20,IF(ISBLANK(B21),"",";"),B21,IF(ISBLANK(B22),"",";"),B22,IF(ISBLANK(B23),"",";"),B23,IF(ISBLANK(B24),"",";"),B24,IF(ISBLANK(B25),"",";"),B25)</f>
        <v>0.333663669422478;0.27123217065051;0.379604159927013</v>
      </c>
      <c r="C26" t="str">
        <f t="shared" ref="C26:BN26" si="0">_xlfn.CONCAT(C2,";",C3,";",C4,IF(ISBLANK(C5),"",";"),C5,IF(ISBLANK(C6),"",";"),C6,IF(ISBLANK(C7),"",";"),C7,IF(ISBLANK(C8),"",";"),C8,IF(ISBLANK(C9),"",";"),C9,IF(ISBLANK(C10),"",";"),C10,IF(ISBLANK(C11),"",";"),C11,IF(ISBLANK(C12),"",";"),C12,IF(ISBLANK(C13),"",";"),C13,IF(ISBLANK(C14),"",";"),C14,IF(ISBLANK(C15),"",";"),C15,IF(ISBLANK(C16),"",";"),C16,IF(ISBLANK(C17),"",";"),C17,IF(ISBLANK(C18),"",";"),C18,IF(ISBLANK(C19),"",";"),C19,IF(ISBLANK(C20),"",";"),C20,IF(ISBLANK(C21),"",";"),C21,IF(ISBLANK(C22),"",";"),C22,IF(ISBLANK(C23),"",";"),C23,IF(ISBLANK(C24),"",";"),C24,IF(ISBLANK(C25),"",";"),C25)</f>
        <v>0.128817089271534;0.10904922611393;0.106442864313677;0.120175472098005;0.197572195306553;0.279343152896301</v>
      </c>
      <c r="D26" t="str">
        <f t="shared" si="0"/>
        <v>0.0676333498793084;0.0533756521010278;0.0532500454780047;0.0542831166094344;0.0547723788788143;0.0542447568131707;0.0564895709616642;0.0594113771367509;0.0667099854605115;0.0816593237270766;0.148475440070047;0.22009500288419</v>
      </c>
      <c r="E26" t="str">
        <f t="shared" si="0"/>
        <v>0.0397033461852658;0.0363571588299138;0.0347097092841171;0.0354826917146094;0.0374397958165012;0.039737887495065;0.0349076948107677;0.0358853559269975;0.0401639469945674;0.0361827842477967;0.0410629108672573;0.0437984067038958;0.0442750123745728;0.043314271123343;0.048749252320648;0.0636023317033571;0.115105715126378;0.194321728474946</v>
      </c>
      <c r="F26" t="str">
        <f t="shared" si="0"/>
        <v>0.0302682303390938;0.0356001359822339;0.0264899498130113;0.0278713659278495;0.0237586612170386;0.0257922068481641;0.0212229312672512;0.0296325482161332;0.0295657455342041;0.0308287508657281;0.0381673706394066;0.0308324037932695;0.0308955187188472;0.028723292961373;0.032676297334632;0.0210930382447866;0.0277371162310062;0.0370975473999753;0.035807390962314;0.035803371307891;0.0363913891800091;0.0638536190282034;0.0865123925721557;0.0969787256154225</v>
      </c>
      <c r="G26" t="str">
        <f t="shared" si="0"/>
        <v>0.09;0.06;0.06;0.06;0.06;0.06;0.07;0.08;0.15;0.23</v>
      </c>
      <c r="H26" t="str">
        <f t="shared" si="0"/>
        <v>0.045;0.045;0.045;0.045;0.045;0.045;0.045;0.045;0.045;0.045;0.05;0.07;0.13;0.2</v>
      </c>
      <c r="I26" t="str">
        <f t="shared" si="0"/>
        <v>0.03;0.03;0.03;0.03;0.03;0.03;0.03;0.03;0.03;0.03;0.03;0.03;0.03;0.03;0.03;0.03;0.03;0.04;0.14;0.19</v>
      </c>
      <c r="J26" t="str">
        <f t="shared" si="0"/>
        <v>0.0502003382040176;0.051770624948636;0.0676290368473464</v>
      </c>
      <c r="K26" t="str">
        <f t="shared" si="0"/>
        <v>0.0521327441208531;0.0531148194525592;0.0643524364265877</v>
      </c>
      <c r="L26" t="str">
        <f t="shared" si="0"/>
        <v>0.0286711592742046;0.036181123470062;0.0463711445667025</v>
      </c>
      <c r="M26" t="str">
        <f t="shared" si="0"/>
        <v>0.0489849142849816;0.0428030164624041;0.0419287220074737;0.0555459909257746;0.0882837424238861;0.116654180496246</v>
      </c>
      <c r="N26" t="str">
        <f t="shared" si="0"/>
        <v>0.0452422243204993;0.0553329812802157;0.069024794399285</v>
      </c>
      <c r="O26" t="str">
        <f t="shared" si="0"/>
        <v>0.0336711592742046;0.041181123470062;0.0513711445667025</v>
      </c>
      <c r="P26" t="str">
        <f t="shared" si="0"/>
        <v>0.0672143634019197;0.0587319084905379;0.057532250471906;0.0762171063091849;0.121138020396207;0.160066350930244</v>
      </c>
      <c r="Q26" t="str">
        <f t="shared" si="0"/>
        <v>0.0474104859968403;0.0555634880756008;0.0666260259275589</v>
      </c>
      <c r="R26" t="str">
        <f t="shared" si="0"/>
        <v>0.0436711592742046;0.051181123470062;0.0613711445667025</v>
      </c>
      <c r="S26" t="str">
        <f t="shared" si="0"/>
        <v>0.0672143634019197;0.0587319084905379;0.057532250471906;0.0762171063091849;0.121138020396207;0.160066350930244</v>
      </c>
      <c r="T26" t="str">
        <f t="shared" si="0"/>
        <v>0.0672143634019197;0.0587319084905379;0.057532250471906;0.0762171063091849;0.121138020396207;0.160066350930244</v>
      </c>
      <c r="U26" t="str">
        <f t="shared" si="0"/>
        <v>0.0472729584791435;0.0404000805209267;0.0404000805209267;0.0353015890067577;0.0353015890067577;0.0345805187161638;0.0345805187161638;0.045811298004128;0.045811298004128;0.0728116064848819;0.100303118317749;0.160825344222273</v>
      </c>
      <c r="V26" t="str">
        <f t="shared" si="0"/>
        <v>0.0472729584791435;0.0404000805209267;0.0404000805209267;0.0353015890067577;0.0353015890067577;0.0345805187161638;0.0345805187161638;0.045811298004128;0.045811298004128;0.0728116064848819;0.100303118317749;0.160825344222273</v>
      </c>
      <c r="W26" t="str">
        <f t="shared" si="0"/>
        <v>0.0436711592742046;0.051181123470062;0.0613711445667025</v>
      </c>
      <c r="X26" t="str">
        <f t="shared" si="0"/>
        <v>0.0436711592742046;0.051181123470062;0.0613711445667025</v>
      </c>
      <c r="Y26" t="str">
        <f t="shared" si="0"/>
        <v>0.0436711592742046;0.051181123470062;0.0613711445667025</v>
      </c>
      <c r="Z26" t="str">
        <f t="shared" si="0"/>
        <v>0.0436711592742046;0.051181123470062;0.0613711445667025</v>
      </c>
      <c r="AA26" t="str">
        <f t="shared" si="0"/>
        <v>0.0489849142849816;0.0428030164624041;0.0419287220074737;0.0555459909257746;0.0882837424238861;0.116654180496246</v>
      </c>
      <c r="AB26" t="str">
        <f t="shared" si="0"/>
        <v>0.0489849142849816;0.0428030164624041;0.0419287220074737;0.0555459909257746;0.0882837424238861;0.116654180496246</v>
      </c>
      <c r="AC26" t="str">
        <f t="shared" si="0"/>
        <v>0.0489849142849816;0.0428030164624041;0.0419287220074737;0.0555459909257746;0.0882837424238861;0.116654180496246</v>
      </c>
      <c r="AD26" t="str">
        <f t="shared" si="0"/>
        <v>0.0489849142849816;0.0428030164624041;0.0419287220074737;0.0555459909257746;0.0882837424238861;0.116654180496246</v>
      </c>
      <c r="AE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F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G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H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I26" t="str">
        <f t="shared" si="0"/>
        <v>0.0436711592742046;0.051181123470062;0.0613711445667025</v>
      </c>
      <c r="AJ26" t="str">
        <f t="shared" si="0"/>
        <v>0.0436711592742046;0.051181123470062;0.0613711445667025</v>
      </c>
      <c r="AK26" t="str">
        <f t="shared" si="0"/>
        <v>0.0436711592742046;0.051181123470062;0.0613711445667025</v>
      </c>
      <c r="AL26" t="str">
        <f t="shared" si="0"/>
        <v>0.0436711592742046;0.051181123470062;0.0613711445667025</v>
      </c>
      <c r="AM26" t="str">
        <f t="shared" si="0"/>
        <v>0.0489849142849816;0.0428030164624041;0.0419287220074737;0.0555459909257746;0.0882837424238861;0.116654180496246</v>
      </c>
      <c r="AN26" t="str">
        <f t="shared" si="0"/>
        <v>0.0489849142849816;0.0428030164624041;0.0419287220074737;0.0555459909257746;0.0882837424238861;0.116654180496246</v>
      </c>
      <c r="AO26" t="str">
        <f t="shared" si="0"/>
        <v>0.0489849142849816;0.0428030164624041;0.0419287220074737;0.0555459909257746;0.0882837424238861;0.116654180496246</v>
      </c>
      <c r="AP26" t="str">
        <f t="shared" si="0"/>
        <v>0.0489849142849816;0.0428030164624041;0.0419287220074737;0.0555459909257746;0.0882837424238861;0.116654180496246</v>
      </c>
      <c r="AQ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R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S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T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U26" t="str">
        <f t="shared" si="0"/>
        <v>0.0436711592742046;0.051181123470062;0.0613711445667025</v>
      </c>
      <c r="AV26" t="str">
        <f t="shared" si="0"/>
        <v>0.0436711592742046;0.051181123470062;0.0613711445667025</v>
      </c>
      <c r="AW26" t="str">
        <f t="shared" si="0"/>
        <v>0.0436711592742046;0.051181123470062;0.0613711445667025</v>
      </c>
      <c r="AX26" t="str">
        <f t="shared" si="0"/>
        <v>0.0436711592742046;0.051181123470062;0.0613711445667025</v>
      </c>
      <c r="AY26" t="str">
        <f t="shared" si="0"/>
        <v>0.0489849142849816;0.0428030164624041;0.0419287220074737;0.0555459909257746;0.0882837424238861;0.116654180496246</v>
      </c>
      <c r="AZ26" t="str">
        <f t="shared" si="0"/>
        <v>0.0489849142849816;0.0428030164624041;0.0419287220074737;0.0555459909257746;0.0882837424238861;0.116654180496246</v>
      </c>
      <c r="BA26" t="str">
        <f t="shared" si="0"/>
        <v>0.0489849142849816;0.0428030164624041;0.0419287220074737;0.0555459909257746;0.0882837424238861;0.116654180496246</v>
      </c>
      <c r="BB26" t="str">
        <f t="shared" si="0"/>
        <v>0.0489849142849816;0.0428030164624041;0.0419287220074737;0.0555459909257746;0.0882837424238861;0.116654180496246</v>
      </c>
      <c r="BC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D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E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F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G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H26" t="str">
        <f t="shared" si="0"/>
        <v>0.051131697230109;0.0436978084665345;0.0436978084665345;0.0381831435752355;0.0381831435752355;0.037403214648288;0.037403214648288;0.115968664711763</v>
      </c>
      <c r="BI26" t="str">
        <f t="shared" si="0"/>
        <v>0.051131697230109;0.0436978084665345;0.0436978084665345;0.0381831435752355;0.0381831435752355;0.037403214648288;0.037403214648288;0.115968664711763</v>
      </c>
      <c r="BJ26" t="str">
        <f t="shared" si="0"/>
        <v>0.0436711592742046;0.051181123470062;0.0613711445667025</v>
      </c>
      <c r="BK26" t="str">
        <f t="shared" si="0"/>
        <v>0.0489849142849816;0.0428030164624041;0.0419287220074737;0.0555459909257746;0.0882837424238861;0.116654180496246</v>
      </c>
      <c r="BL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M26" t="str">
        <f t="shared" si="0"/>
        <v>0.04;0.04;0.039;0.044;0.05;0.05;0.06;0.11</v>
      </c>
      <c r="BN26" t="str">
        <f t="shared" si="0"/>
        <v>0.036;0.036;0.035;0.04;0.04;0.044;0.044;0.044;0.06;0.11</v>
      </c>
      <c r="BO26" t="str">
        <f t="shared" ref="BO26:CK26" si="1">_xlfn.CONCAT(BO2,";",BO3,";",BO4,IF(ISBLANK(BO5),"",";"),BO5,IF(ISBLANK(BO6),"",";"),BO6,IF(ISBLANK(BO7),"",";"),BO7,IF(ISBLANK(BO8),"",";"),BO8,IF(ISBLANK(BO9),"",";"),BO9,IF(ISBLANK(BO10),"",";"),BO10,IF(ISBLANK(BO11),"",";"),BO11,IF(ISBLANK(BO12),"",";"),BO12,IF(ISBLANK(BO13),"",";"),BO13,IF(ISBLANK(BO14),"",";"),BO14,IF(ISBLANK(BO15),"",";"),BO15,IF(ISBLANK(BO16),"",";"),BO16,IF(ISBLANK(BO17),"",";"),BO17,IF(ISBLANK(BO18),"",";"),BO18,IF(ISBLANK(BO19),"",";"),BO19,IF(ISBLANK(BO20),"",";"),BO20,IF(ISBLANK(BO21),"",";"),BO21,IF(ISBLANK(BO22),"",";"),BO22,IF(ISBLANK(BO23),"",";"),BO23,IF(ISBLANK(BO24),"",";"),BO24,IF(ISBLANK(BO25),"",";"),BO25)</f>
        <v>0.0436711592742046;0.051181123470062;0.0613711445667025</v>
      </c>
      <c r="BP26" t="str">
        <f t="shared" si="1"/>
        <v>0.0436711592742046;0.051181123470062;0.0613711445667025</v>
      </c>
      <c r="BQ26" t="str">
        <f t="shared" si="1"/>
        <v>0.0436711592742046;0.051181123470062;0.0613711445667025</v>
      </c>
      <c r="BR26" t="str">
        <f t="shared" si="1"/>
        <v>0.0436711592742046;0.051181123470062;0.0613711445667025</v>
      </c>
      <c r="BS26" t="str">
        <f t="shared" si="1"/>
        <v>0.0436711592742046;0.051181123470062;0.0613711445667025</v>
      </c>
      <c r="BT26" t="str">
        <f t="shared" si="1"/>
        <v>0.0436711592742046;0.051181123470062;0.0613711445667025</v>
      </c>
      <c r="BU26" t="str">
        <f t="shared" si="1"/>
        <v>0.0436711592742046;0.051181123470062;0.0613711445667025</v>
      </c>
      <c r="BV26" t="str">
        <f t="shared" si="1"/>
        <v>0.0436711592742046;0.051181123470062;0.0613711445667025</v>
      </c>
      <c r="BW26" t="str">
        <f t="shared" si="1"/>
        <v>0.0436711592742046;0.051181123470062;0.0613711445667025</v>
      </c>
      <c r="BX26" t="str">
        <f t="shared" si="1"/>
        <v>0.0436711592742046;0.051181123470062;0.0613711445667025</v>
      </c>
      <c r="BY26" t="str">
        <f t="shared" si="1"/>
        <v>0.0644390526083577;0.0508547404480374;0.0507350661778232;0.0517193457544696;0.052185500353822;0.0516827976767255;0.0538215901107671;0.0566054004966762;0.0635592983382274;0.0778025850708581;0.14146300177052;0.2097</v>
      </c>
      <c r="BZ26" t="str">
        <f t="shared" si="1"/>
        <v>0.0378281723162571;0.0346400241110634;0.0330703829777964;0.0338068577434662;0.0356715285664683;0.0378610822531933;0.0332590177236769;0.034190504278968;0.0382670191253388;0.0344738851738283;0.0391235252778309;0.0417298246913842;0.0421839204583542;0.0412685546493045;0.0464468437614592;0.0605984178805363;0.109669316184803;0.1851439874927</v>
      </c>
      <c r="CA26" t="str">
        <f t="shared" si="1"/>
        <v>0.0614985940493251;0.043545474270277;0.0397747864583777;0.0381926668451503;0.0368946101938309;0.0363729258607455;0.0392688028955949;0.0382583579063358;0.0377843050201864;0.0394703828817569;0.0400681036602307;0.039653622898727;0.0415878820152106;0.043048770715807;0.0497616722672619;0.0612161906518719;0.0990212884948429;0.123805841762218</v>
      </c>
      <c r="CB26" t="str">
        <f t="shared" si="1"/>
        <v>0.0414518017136577;0.0280262642965602;0.0238791964139566;0.0243418180922935;0.0239400274570418;0.0243711819547872;0.0231497485419686;0.0222257411238113;0.0279517253831576;0.0248168058249405;0.0237668851707429;0.0271949261988818;0.0274664828748448;0.0273016856068223;0.029818523795495;0.0276644669923348;0.0279897777711117;0.0299916631123689;0.0368185720070784;0.0444736496742064;0.0458177564565853;0.0662796735729258;0.0974783010164617;0.124629411488009</v>
      </c>
      <c r="CC26" t="str">
        <f t="shared" si="1"/>
        <v>0.0436711592742046;0.051181123470062;0.0613711445667025</v>
      </c>
      <c r="CD26" t="str">
        <f t="shared" si="1"/>
        <v>0.0472729584791435;0.0404000805209267;0.0404000805209267;0.0353015890067577;0.0353015890067577;0.0345805187161638;0.0345805187161638;0.045811298004128;0.045811298004128;0.0728116064848819;0.100303118317749;0.160825344222273</v>
      </c>
      <c r="CE26" t="str">
        <f t="shared" si="1"/>
        <v>0.189554198180883;0.126764581314901;0.109352515397748;0.120533607772253;0.140014616281967;0.183827480153228</v>
      </c>
      <c r="CF26" t="str">
        <f t="shared" si="1"/>
        <v>0.0974264401913031;0.0673511813511603;0.0631702673367264;0.0606468891667864;0.061915996807845;0.0600267851182538;0.061692944597323;0.0637143854232788;0.0681774680786215;0.0855896521551766;0.12657166897802;0.155016320795505</v>
      </c>
      <c r="CG26" t="str">
        <f t="shared" si="1"/>
        <v>0.064594796557275;0.0457378106761688;0.0417772841656721;0.0401155113052432;0.038752102814237;0.0382041538101388;0.0412458264014008;0.040184509642498;0.0396865901337422;0.0414575551148362;0.042085368688145;0.041650020516693;0.0436816616631248;0.0452161001306475;0.0522669688005469;0.0642981753045852;0.104006605094638;0.130038959180408</v>
      </c>
      <c r="CH26" t="str">
        <f t="shared" si="1"/>
        <v>0.0435387302753404;0.0294372719975473;0.0250814162202406;0.0255673290066564;0.0251453098573749;0.0255981712194457;0.024315243633394;0.0233447162235249;0.0293589803549289;0.0260662304276047;0.0249634505656004;0.0285640794291646;0.0288493078723309;0.0286762137363484;0.031319764426865;0.0290572596798239;0.0293989485248751;0.0315016205997161;0.0386722364159918;0.0467127159128348;0.0481244929705247;0.0696165838668099;0.102385934511884;0.130903992271173</v>
      </c>
      <c r="CI26" t="str">
        <f t="shared" si="1"/>
        <v>0.11;0.07;0.07;0.07;0.07;0.07;0.07;0.08;0.13;0.16</v>
      </c>
      <c r="CJ26" t="str">
        <f t="shared" si="1"/>
        <v>0.057;0.056;0.056;0.056;0.056;0.056;0.056;0.056;0.057;0.057;0.057;0.058;0.098;0.125</v>
      </c>
      <c r="CK26" t="str">
        <f t="shared" si="1"/>
        <v>0.055;0.054;0.048;0.042;0.032;0.032;0.032;0.032;0.032;0.032;0.032;0.032;0.032;0.032;0.032;0.032;0.032;0.067;0.098;0.125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16BA4-76B7-42E5-BF08-AC0F4FBD90ED}">
  <dimension ref="A1:S56"/>
  <sheetViews>
    <sheetView workbookViewId="0">
      <selection activeCell="S2" sqref="S2"/>
    </sheetView>
  </sheetViews>
  <sheetFormatPr defaultRowHeight="14.4" x14ac:dyDescent="0.3"/>
  <cols>
    <col min="1" max="1" width="19.5546875" bestFit="1" customWidth="1"/>
  </cols>
  <sheetData>
    <row r="1" spans="1:19" x14ac:dyDescent="0.3">
      <c r="A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</row>
    <row r="2" spans="1:19" x14ac:dyDescent="0.3">
      <c r="A2" t="s">
        <v>88</v>
      </c>
      <c r="B2" t="s">
        <v>60</v>
      </c>
      <c r="C2">
        <v>63</v>
      </c>
      <c r="D2">
        <v>9084.7488118811889</v>
      </c>
      <c r="E2">
        <v>8.9899999999999994E-2</v>
      </c>
      <c r="F2">
        <v>9.6455382426090999E-3</v>
      </c>
      <c r="G2">
        <v>0.23</v>
      </c>
      <c r="H2">
        <v>0</v>
      </c>
      <c r="I2">
        <v>2.0000000000000002E-5</v>
      </c>
      <c r="J2">
        <v>0.15</v>
      </c>
      <c r="K2">
        <v>3</v>
      </c>
      <c r="L2">
        <v>0.15622342731096903</v>
      </c>
      <c r="M2">
        <v>0.99750000000000005</v>
      </c>
      <c r="N2">
        <v>1.2499999999999956E-2</v>
      </c>
      <c r="O2">
        <v>0.9850000000000001</v>
      </c>
      <c r="P2">
        <v>1.4999999999999902E-2</v>
      </c>
      <c r="Q2">
        <v>9.6455382426090999E-3</v>
      </c>
      <c r="R2">
        <v>6.9668313585732555E-2</v>
      </c>
      <c r="S2" t="str">
        <f>HLOOKUP(A2,'SFY-CPR'!$B$1:$CK$26,26,FALSE)</f>
        <v>0.0436711592742046;0.051181123470062;0.0613711445667025</v>
      </c>
    </row>
    <row r="3" spans="1:19" x14ac:dyDescent="0.3">
      <c r="A3" t="s">
        <v>89</v>
      </c>
      <c r="B3" t="s">
        <v>33</v>
      </c>
      <c r="C3">
        <v>63</v>
      </c>
      <c r="D3">
        <v>9084.7488118811889</v>
      </c>
      <c r="E3">
        <v>0.10989999999999998</v>
      </c>
      <c r="F3">
        <v>2.2875839999999995E-2</v>
      </c>
      <c r="G3">
        <v>0.23</v>
      </c>
      <c r="H3">
        <v>0</v>
      </c>
      <c r="I3">
        <v>2.0000000000000002E-5</v>
      </c>
      <c r="J3">
        <v>0.15</v>
      </c>
      <c r="K3">
        <v>3</v>
      </c>
      <c r="L3">
        <v>0.15622342731096903</v>
      </c>
      <c r="M3">
        <v>0.99750000000000005</v>
      </c>
      <c r="N3">
        <v>1.2499999999999956E-2</v>
      </c>
      <c r="O3">
        <v>0.9850000000000001</v>
      </c>
      <c r="P3">
        <v>1.4999999999999902E-2</v>
      </c>
      <c r="Q3">
        <v>2.2875839999999995E-2</v>
      </c>
      <c r="R3">
        <v>7.4645872239842426E-2</v>
      </c>
      <c r="S3" t="str">
        <f>HLOOKUP(A3,'SFY-CPR'!$B$1:$CK$26,26,FALSE)</f>
        <v>0.0436711592742046;0.051181123470062;0.0613711445667025</v>
      </c>
    </row>
    <row r="4" spans="1:19" x14ac:dyDescent="0.3">
      <c r="A4" t="s">
        <v>90</v>
      </c>
      <c r="B4" t="s">
        <v>39</v>
      </c>
      <c r="C4">
        <v>63</v>
      </c>
      <c r="D4">
        <v>9084.7488118811889</v>
      </c>
      <c r="E4">
        <v>0.11989999999999999</v>
      </c>
      <c r="F4">
        <v>2.0981999999999997E-2</v>
      </c>
      <c r="G4">
        <v>0.23</v>
      </c>
      <c r="H4">
        <v>0</v>
      </c>
      <c r="I4">
        <v>2.0000000000000002E-5</v>
      </c>
      <c r="J4">
        <v>0.15</v>
      </c>
      <c r="K4">
        <v>3</v>
      </c>
      <c r="L4">
        <v>0.15622342731096903</v>
      </c>
      <c r="M4">
        <v>0.99750000000000005</v>
      </c>
      <c r="N4">
        <v>1.2499999999999956E-2</v>
      </c>
      <c r="O4">
        <v>0.9850000000000001</v>
      </c>
      <c r="P4">
        <v>1.4999999999999902E-2</v>
      </c>
      <c r="Q4">
        <v>2.0981999999999997E-2</v>
      </c>
      <c r="R4">
        <v>8.4693795960952833E-2</v>
      </c>
      <c r="S4" t="str">
        <f>HLOOKUP(A4,'SFY-CPR'!$B$1:$CK$26,26,FALSE)</f>
        <v>0.0436711592742046;0.051181123470062;0.0613711445667025</v>
      </c>
    </row>
    <row r="5" spans="1:19" x14ac:dyDescent="0.3">
      <c r="A5" t="s">
        <v>91</v>
      </c>
      <c r="B5" t="s">
        <v>46</v>
      </c>
      <c r="C5">
        <v>63</v>
      </c>
      <c r="D5">
        <v>9084.7488118811889</v>
      </c>
      <c r="E5">
        <v>0.1399</v>
      </c>
      <c r="F5">
        <v>4.4341440000000003E-2</v>
      </c>
      <c r="G5">
        <v>0.23</v>
      </c>
      <c r="H5">
        <v>0</v>
      </c>
      <c r="I5">
        <v>2.0000000000000002E-5</v>
      </c>
      <c r="J5">
        <v>0.15</v>
      </c>
      <c r="K5">
        <v>3</v>
      </c>
      <c r="L5">
        <v>0.15622342731096903</v>
      </c>
      <c r="M5">
        <v>0.99750000000000005</v>
      </c>
      <c r="N5">
        <v>1.2499999999999956E-2</v>
      </c>
      <c r="O5">
        <v>0.9850000000000001</v>
      </c>
      <c r="P5">
        <v>1.4999999999999902E-2</v>
      </c>
      <c r="Q5">
        <v>4.4341440000000003E-2</v>
      </c>
      <c r="R5">
        <v>8.0055138476727628E-2</v>
      </c>
      <c r="S5" t="str">
        <f>HLOOKUP(A5,'SFY-CPR'!$B$1:$CK$26,26,FALSE)</f>
        <v>0.0436711592742046;0.051181123470062;0.0613711445667025</v>
      </c>
    </row>
    <row r="6" spans="1:19" x14ac:dyDescent="0.3">
      <c r="A6" t="s">
        <v>92</v>
      </c>
      <c r="B6" t="s">
        <v>52</v>
      </c>
      <c r="C6">
        <v>186</v>
      </c>
      <c r="D6">
        <v>9084.7488118811889</v>
      </c>
      <c r="E6">
        <v>6.9900000000000004E-2</v>
      </c>
      <c r="F6">
        <v>9.4255199999999997E-3</v>
      </c>
      <c r="G6">
        <v>0.23</v>
      </c>
      <c r="H6">
        <v>0</v>
      </c>
      <c r="I6">
        <v>2.0000000000000002E-5</v>
      </c>
      <c r="J6">
        <v>0.15</v>
      </c>
      <c r="K6">
        <v>6</v>
      </c>
      <c r="L6">
        <v>0.39420056660076597</v>
      </c>
      <c r="M6">
        <v>0.98500000000000021</v>
      </c>
      <c r="N6">
        <v>1.2499999999999956E-2</v>
      </c>
      <c r="O6">
        <v>0.97250000000000025</v>
      </c>
      <c r="P6">
        <v>2.7499999999999747E-2</v>
      </c>
      <c r="Q6">
        <v>9.4255199999999997E-3</v>
      </c>
      <c r="R6">
        <v>5.4046358646195891E-2</v>
      </c>
      <c r="S6" t="str">
        <f>HLOOKUP(A6,'SFY-CPR'!$B$1:$CK$26,26,FALSE)</f>
        <v>0.0489849142849816;0.0428030164624041;0.0419287220074737;0.0555459909257746;0.0882837424238861;0.116654180496246</v>
      </c>
    </row>
    <row r="7" spans="1:19" x14ac:dyDescent="0.3">
      <c r="A7" t="s">
        <v>93</v>
      </c>
      <c r="B7" t="s">
        <v>32</v>
      </c>
      <c r="C7">
        <v>186</v>
      </c>
      <c r="D7">
        <v>9084.7488118811889</v>
      </c>
      <c r="E7">
        <v>0.10989999999999998</v>
      </c>
      <c r="F7">
        <v>1.8188040000000003E-2</v>
      </c>
      <c r="G7">
        <v>0.23</v>
      </c>
      <c r="H7">
        <v>0</v>
      </c>
      <c r="I7">
        <v>2.0000000000000002E-5</v>
      </c>
      <c r="J7">
        <v>0.15</v>
      </c>
      <c r="K7">
        <v>6</v>
      </c>
      <c r="L7">
        <v>0.39420056660076597</v>
      </c>
      <c r="M7">
        <v>0.98500000000000021</v>
      </c>
      <c r="N7">
        <v>1.2499999999999956E-2</v>
      </c>
      <c r="O7">
        <v>0.97250000000000025</v>
      </c>
      <c r="P7">
        <v>2.7499999999999747E-2</v>
      </c>
      <c r="Q7">
        <v>1.8188040000000003E-2</v>
      </c>
      <c r="R7">
        <v>7.6803137963182166E-2</v>
      </c>
      <c r="S7" t="str">
        <f>HLOOKUP(A7,'SFY-CPR'!$B$1:$CK$26,26,FALSE)</f>
        <v>0.0489849142849816;0.0428030164624041;0.0419287220074737;0.0555459909257746;0.0882837424238861;0.116654180496246</v>
      </c>
    </row>
    <row r="8" spans="1:19" x14ac:dyDescent="0.3">
      <c r="A8" t="s">
        <v>94</v>
      </c>
      <c r="B8" t="s">
        <v>38</v>
      </c>
      <c r="C8">
        <v>186</v>
      </c>
      <c r="D8">
        <v>9084.7488118811889</v>
      </c>
      <c r="E8">
        <v>0.11989999999999999</v>
      </c>
      <c r="F8">
        <v>1.71288E-2</v>
      </c>
      <c r="G8">
        <v>0.23</v>
      </c>
      <c r="H8">
        <v>0</v>
      </c>
      <c r="I8">
        <v>2.0000000000000002E-5</v>
      </c>
      <c r="J8">
        <v>0.15</v>
      </c>
      <c r="K8">
        <v>6</v>
      </c>
      <c r="L8">
        <v>0.39420056660076597</v>
      </c>
      <c r="M8">
        <v>0.98500000000000021</v>
      </c>
      <c r="N8">
        <v>1.2499999999999956E-2</v>
      </c>
      <c r="O8">
        <v>0.97250000000000025</v>
      </c>
      <c r="P8">
        <v>2.7499999999999747E-2</v>
      </c>
      <c r="Q8">
        <v>1.71288E-2</v>
      </c>
      <c r="R8">
        <v>8.5263299848686636E-2</v>
      </c>
      <c r="S8" t="str">
        <f>HLOOKUP(A8,'SFY-CPR'!$B$1:$CK$26,26,FALSE)</f>
        <v>0.0489849142849816;0.0428030164624041;0.0419287220074737;0.0555459909257746;0.0882837424238861;0.116654180496246</v>
      </c>
    </row>
    <row r="9" spans="1:19" x14ac:dyDescent="0.3">
      <c r="A9" t="s">
        <v>95</v>
      </c>
      <c r="B9" t="s">
        <v>45</v>
      </c>
      <c r="C9">
        <v>186</v>
      </c>
      <c r="D9">
        <v>9084.7488118811889</v>
      </c>
      <c r="E9">
        <v>0.1399</v>
      </c>
      <c r="F9">
        <v>3.702192E-2</v>
      </c>
      <c r="G9">
        <v>0.23</v>
      </c>
      <c r="H9">
        <v>0</v>
      </c>
      <c r="I9">
        <v>2.0000000000000002E-5</v>
      </c>
      <c r="J9">
        <v>0.15</v>
      </c>
      <c r="K9">
        <v>6</v>
      </c>
      <c r="L9">
        <v>0.39420056660076597</v>
      </c>
      <c r="M9">
        <v>0.98500000000000021</v>
      </c>
      <c r="N9">
        <v>1.2499999999999956E-2</v>
      </c>
      <c r="O9">
        <v>0.97250000000000025</v>
      </c>
      <c r="P9">
        <v>2.7499999999999747E-2</v>
      </c>
      <c r="Q9">
        <v>3.702192E-2</v>
      </c>
      <c r="R9">
        <v>8.1951747688615129E-2</v>
      </c>
      <c r="S9" t="str">
        <f>HLOOKUP(A9,'SFY-CPR'!$B$1:$CK$26,26,FALSE)</f>
        <v>0.0489849142849816;0.0428030164624041;0.0419287220074737;0.0555459909257746;0.0882837424238861;0.116654180496246</v>
      </c>
    </row>
    <row r="10" spans="1:19" x14ac:dyDescent="0.3">
      <c r="A10" t="s">
        <v>96</v>
      </c>
      <c r="B10" t="s">
        <v>58</v>
      </c>
      <c r="C10">
        <v>132</v>
      </c>
      <c r="D10">
        <v>9084.7488118811889</v>
      </c>
      <c r="E10">
        <v>8.9899999999999994E-2</v>
      </c>
      <c r="F10">
        <v>1.0758484962910148E-2</v>
      </c>
      <c r="G10">
        <v>0.23</v>
      </c>
      <c r="H10">
        <v>0</v>
      </c>
      <c r="I10">
        <v>2.0000000000000002E-5</v>
      </c>
      <c r="J10">
        <v>0.15</v>
      </c>
      <c r="K10">
        <v>12</v>
      </c>
      <c r="L10">
        <v>0.5</v>
      </c>
      <c r="M10">
        <v>0.97499999999999953</v>
      </c>
      <c r="N10">
        <v>1.2499999999999956E-2</v>
      </c>
      <c r="O10">
        <v>0.96249999999999958</v>
      </c>
      <c r="P10">
        <v>3.7500000000000422E-2</v>
      </c>
      <c r="Q10">
        <v>1.0758484962910148E-2</v>
      </c>
      <c r="R10">
        <v>5.5514015734065225E-2</v>
      </c>
      <c r="S10" t="str">
        <f>HLOOKUP(A10,'SFY-CPR'!$B$1:$CK$26,26,FALSE)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1" spans="1:19" x14ac:dyDescent="0.3">
      <c r="A11" t="s">
        <v>97</v>
      </c>
      <c r="B11" t="s">
        <v>31</v>
      </c>
      <c r="C11">
        <v>132</v>
      </c>
      <c r="D11">
        <v>9084.7488118811889</v>
      </c>
      <c r="E11">
        <v>0.10989999999999998</v>
      </c>
      <c r="F11">
        <v>2.1116159999999998E-2</v>
      </c>
      <c r="G11">
        <v>0.23</v>
      </c>
      <c r="H11">
        <v>0</v>
      </c>
      <c r="I11">
        <v>2.0000000000000002E-5</v>
      </c>
      <c r="J11">
        <v>0.15</v>
      </c>
      <c r="K11">
        <v>12</v>
      </c>
      <c r="L11">
        <v>0.5</v>
      </c>
      <c r="M11">
        <v>0.97499999999999953</v>
      </c>
      <c r="N11">
        <v>1.2499999999999956E-2</v>
      </c>
      <c r="O11">
        <v>0.96249999999999958</v>
      </c>
      <c r="P11">
        <v>3.7500000000000422E-2</v>
      </c>
      <c r="Q11">
        <v>2.1116159999999998E-2</v>
      </c>
      <c r="R11">
        <v>5.7446902339609807E-2</v>
      </c>
      <c r="S11" t="str">
        <f>HLOOKUP(A11,'SFY-CPR'!$B$1:$CK$26,26,FALSE)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2" spans="1:19" x14ac:dyDescent="0.3">
      <c r="A12" t="s">
        <v>98</v>
      </c>
      <c r="B12" t="s">
        <v>37</v>
      </c>
      <c r="C12">
        <v>132</v>
      </c>
      <c r="D12">
        <v>9084.7488118811889</v>
      </c>
      <c r="E12">
        <v>0.11989999999999999</v>
      </c>
      <c r="F12">
        <v>2.0669999999999997E-2</v>
      </c>
      <c r="G12">
        <v>0.23</v>
      </c>
      <c r="H12">
        <v>0</v>
      </c>
      <c r="I12">
        <v>2.0000000000000002E-5</v>
      </c>
      <c r="J12">
        <v>0.15</v>
      </c>
      <c r="K12">
        <v>12</v>
      </c>
      <c r="L12">
        <v>0.5</v>
      </c>
      <c r="M12">
        <v>0.97499999999999953</v>
      </c>
      <c r="N12">
        <v>1.2499999999999956E-2</v>
      </c>
      <c r="O12">
        <v>0.96249999999999958</v>
      </c>
      <c r="P12">
        <v>3.7500000000000422E-2</v>
      </c>
      <c r="Q12">
        <v>2.0669999999999997E-2</v>
      </c>
      <c r="R12">
        <v>6.3387707036416607E-2</v>
      </c>
      <c r="S12" t="str">
        <f>HLOOKUP(A12,'SFY-CPR'!$B$1:$CK$26,26,FALSE)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3" spans="1:19" x14ac:dyDescent="0.3">
      <c r="A13" t="s">
        <v>99</v>
      </c>
      <c r="B13" t="s">
        <v>44</v>
      </c>
      <c r="C13">
        <v>132</v>
      </c>
      <c r="D13">
        <v>9084.7488118811889</v>
      </c>
      <c r="E13">
        <v>0.1399</v>
      </c>
      <c r="F13">
        <v>4.2219840000000008E-2</v>
      </c>
      <c r="G13">
        <v>0.23</v>
      </c>
      <c r="H13">
        <v>0</v>
      </c>
      <c r="I13">
        <v>2.0000000000000002E-5</v>
      </c>
      <c r="J13">
        <v>0.15</v>
      </c>
      <c r="K13">
        <v>12</v>
      </c>
      <c r="L13">
        <v>0.5</v>
      </c>
      <c r="M13">
        <v>0.97499999999999953</v>
      </c>
      <c r="N13">
        <v>1.2499999999999956E-2</v>
      </c>
      <c r="O13">
        <v>0.96249999999999958</v>
      </c>
      <c r="P13">
        <v>3.7500000000000422E-2</v>
      </c>
      <c r="Q13">
        <v>4.2219840000000008E-2</v>
      </c>
      <c r="R13">
        <v>5.4510889589344913E-2</v>
      </c>
      <c r="S13" t="str">
        <f>HLOOKUP(A13,'SFY-CPR'!$B$1:$CK$26,26,FALSE)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4" spans="1:19" x14ac:dyDescent="0.3">
      <c r="A14" t="s">
        <v>100</v>
      </c>
      <c r="B14" t="s">
        <v>57</v>
      </c>
      <c r="C14">
        <v>120</v>
      </c>
      <c r="D14">
        <v>10000</v>
      </c>
      <c r="E14">
        <v>8.9899999999999994E-2</v>
      </c>
      <c r="G14">
        <v>0.12</v>
      </c>
      <c r="H14">
        <v>0.02</v>
      </c>
      <c r="I14">
        <v>2.0000000000000002E-5</v>
      </c>
      <c r="J14">
        <v>0.15</v>
      </c>
      <c r="M14">
        <v>0.97499999999999998</v>
      </c>
      <c r="N14">
        <v>1.2499999999999956E-2</v>
      </c>
      <c r="O14">
        <v>0.96250000000000002</v>
      </c>
      <c r="P14">
        <v>3.7499999999999978E-2</v>
      </c>
      <c r="Q14">
        <v>3.2000000000000001E-2</v>
      </c>
      <c r="R14">
        <v>4.9643392514035156E-2</v>
      </c>
      <c r="S14" t="e">
        <f>HLOOKUP(A14,'SFY-CPR'!$B$1:$CK$26,26,FALSE)</f>
        <v>#N/A</v>
      </c>
    </row>
    <row r="15" spans="1:19" x14ac:dyDescent="0.3">
      <c r="A15" t="s">
        <v>101</v>
      </c>
      <c r="B15" t="s">
        <v>59</v>
      </c>
      <c r="C15">
        <v>180</v>
      </c>
      <c r="D15">
        <v>10000</v>
      </c>
      <c r="E15">
        <v>8.9899999999999994E-2</v>
      </c>
      <c r="G15">
        <v>0.12</v>
      </c>
      <c r="H15">
        <v>0.02</v>
      </c>
      <c r="I15">
        <v>2.0000000000000002E-5</v>
      </c>
      <c r="J15">
        <v>0.15</v>
      </c>
      <c r="M15">
        <v>0.97499999999999998</v>
      </c>
      <c r="N15">
        <v>1.2499999999999956E-2</v>
      </c>
      <c r="O15">
        <v>0.96250000000000002</v>
      </c>
      <c r="P15">
        <v>3.7499999999999978E-2</v>
      </c>
      <c r="Q15">
        <v>3.2000000000000001E-2</v>
      </c>
      <c r="R15">
        <v>4.8187665856795903E-2</v>
      </c>
      <c r="S15" t="e">
        <f>HLOOKUP(A15,'SFY-CPR'!$B$1:$CK$26,26,FALSE)</f>
        <v>#N/A</v>
      </c>
    </row>
    <row r="16" spans="1:19" x14ac:dyDescent="0.3">
      <c r="A16" t="s">
        <v>102</v>
      </c>
      <c r="B16" t="s">
        <v>48</v>
      </c>
      <c r="C16">
        <v>60</v>
      </c>
      <c r="D16">
        <v>10000</v>
      </c>
      <c r="E16">
        <v>3.9899999999999998E-2</v>
      </c>
      <c r="G16">
        <v>0.1</v>
      </c>
      <c r="H16">
        <v>0.02</v>
      </c>
      <c r="I16">
        <v>2.0000000000000002E-5</v>
      </c>
      <c r="J16">
        <v>0.15</v>
      </c>
      <c r="M16">
        <v>0.92249999999999999</v>
      </c>
      <c r="N16">
        <v>1.2499999999999956E-2</v>
      </c>
      <c r="O16">
        <v>0.91</v>
      </c>
      <c r="P16">
        <v>8.9999999999999969E-2</v>
      </c>
      <c r="Q16">
        <v>3.2000000000000001E-2</v>
      </c>
      <c r="R16">
        <v>3.029317967963685E-2</v>
      </c>
      <c r="S16" t="e">
        <f>HLOOKUP(A16,'SFY-CPR'!$B$1:$CK$26,26,FALSE)</f>
        <v>#N/A</v>
      </c>
    </row>
    <row r="17" spans="1:19" x14ac:dyDescent="0.3">
      <c r="A17" t="s">
        <v>103</v>
      </c>
      <c r="B17" t="s">
        <v>49</v>
      </c>
      <c r="C17">
        <v>84</v>
      </c>
      <c r="D17">
        <v>10000</v>
      </c>
      <c r="E17">
        <v>3.9899999999999998E-2</v>
      </c>
      <c r="G17">
        <v>0.1</v>
      </c>
      <c r="H17">
        <v>0.02</v>
      </c>
      <c r="I17">
        <v>2.0000000000000002E-5</v>
      </c>
      <c r="J17">
        <v>0.15</v>
      </c>
      <c r="M17">
        <v>0.91249999999999998</v>
      </c>
      <c r="N17">
        <v>1.2499999999999956E-2</v>
      </c>
      <c r="O17">
        <v>0.9</v>
      </c>
      <c r="P17">
        <v>9.9999999999999978E-2</v>
      </c>
      <c r="Q17">
        <v>3.2000000000000001E-2</v>
      </c>
      <c r="R17">
        <v>2.5515494840785635E-2</v>
      </c>
      <c r="S17" t="e">
        <f>HLOOKUP(A17,'SFY-CPR'!$B$1:$CK$26,26,FALSE)</f>
        <v>#N/A</v>
      </c>
    </row>
    <row r="18" spans="1:19" x14ac:dyDescent="0.3">
      <c r="A18" t="s">
        <v>104</v>
      </c>
      <c r="B18" t="s">
        <v>63</v>
      </c>
      <c r="C18">
        <v>120</v>
      </c>
      <c r="D18">
        <v>10000</v>
      </c>
      <c r="E18">
        <v>0.14399999999999999</v>
      </c>
      <c r="G18">
        <v>0.16300000000000001</v>
      </c>
      <c r="H18">
        <v>0.02</v>
      </c>
      <c r="I18">
        <v>2.0000000000000002E-5</v>
      </c>
      <c r="J18">
        <v>0.15</v>
      </c>
      <c r="M18">
        <v>0.96249999999999991</v>
      </c>
      <c r="N18">
        <v>1.2499999999999956E-2</v>
      </c>
      <c r="O18">
        <v>0.95</v>
      </c>
      <c r="P18">
        <v>5.0000000000000044E-2</v>
      </c>
      <c r="Q18">
        <v>9.64E-2</v>
      </c>
      <c r="R18">
        <v>5.0693987965075848E-2</v>
      </c>
      <c r="S18" t="e">
        <f>HLOOKUP(A18,'SFY-CPR'!$B$1:$CK$26,26,FALSE)</f>
        <v>#N/A</v>
      </c>
    </row>
    <row r="19" spans="1:19" x14ac:dyDescent="0.3">
      <c r="A19" t="s">
        <v>105</v>
      </c>
      <c r="B19" t="s">
        <v>13</v>
      </c>
      <c r="C19">
        <v>61</v>
      </c>
      <c r="D19">
        <v>5719</v>
      </c>
      <c r="E19">
        <v>0.2147</v>
      </c>
      <c r="F19">
        <v>9.64E-2</v>
      </c>
      <c r="G19">
        <v>0.23449999999999999</v>
      </c>
      <c r="H19">
        <v>0.02</v>
      </c>
      <c r="I19">
        <v>2.0000000000000002E-5</v>
      </c>
      <c r="J19">
        <v>0.15</v>
      </c>
      <c r="K19">
        <v>6</v>
      </c>
      <c r="L19">
        <v>0.29480000000000001</v>
      </c>
      <c r="M19">
        <v>0.91349999999999998</v>
      </c>
      <c r="N19">
        <v>1.2499999999999956E-2</v>
      </c>
      <c r="O19">
        <v>0.90100000000000002</v>
      </c>
      <c r="P19">
        <v>9.8999999999999977E-2</v>
      </c>
      <c r="Q19">
        <v>9.64E-2</v>
      </c>
      <c r="R19">
        <v>0.15780109551905941</v>
      </c>
      <c r="S19" t="e">
        <f>HLOOKUP(A19,'SFY-CPR'!$B$1:$CK$26,26,FALSE)</f>
        <v>#N/A</v>
      </c>
    </row>
    <row r="20" spans="1:19" x14ac:dyDescent="0.3">
      <c r="A20" t="s">
        <v>106</v>
      </c>
      <c r="B20" t="s">
        <v>14</v>
      </c>
      <c r="C20">
        <v>63</v>
      </c>
      <c r="D20">
        <v>6630</v>
      </c>
      <c r="E20">
        <v>0.21870000000000001</v>
      </c>
      <c r="F20">
        <v>9.64E-2</v>
      </c>
      <c r="G20">
        <v>0.23899999999999999</v>
      </c>
      <c r="H20">
        <v>0.02</v>
      </c>
      <c r="I20">
        <v>2.0000000000000002E-5</v>
      </c>
      <c r="J20">
        <v>0.15</v>
      </c>
      <c r="K20">
        <v>12</v>
      </c>
      <c r="L20">
        <v>0.47299999999999998</v>
      </c>
      <c r="M20">
        <v>0.91349999999999998</v>
      </c>
      <c r="N20">
        <v>1.2499999999999956E-2</v>
      </c>
      <c r="O20">
        <v>0.90100000000000002</v>
      </c>
      <c r="P20">
        <v>9.8999999999999977E-2</v>
      </c>
      <c r="Q20">
        <v>9.64E-2</v>
      </c>
      <c r="R20">
        <v>0.12729977387087654</v>
      </c>
      <c r="S20" t="e">
        <f>HLOOKUP(A20,'SFY-CPR'!$B$1:$CK$26,26,FALSE)</f>
        <v>#N/A</v>
      </c>
    </row>
    <row r="21" spans="1:19" x14ac:dyDescent="0.3">
      <c r="A21" t="s">
        <v>107</v>
      </c>
      <c r="B21" t="s">
        <v>53</v>
      </c>
      <c r="C21">
        <v>120</v>
      </c>
      <c r="D21">
        <v>10000</v>
      </c>
      <c r="E21">
        <v>8.4900000000000003E-2</v>
      </c>
      <c r="G21">
        <v>0.12</v>
      </c>
      <c r="H21">
        <v>0</v>
      </c>
      <c r="I21">
        <v>2.0000000000000002E-5</v>
      </c>
      <c r="J21">
        <v>0.15</v>
      </c>
      <c r="M21">
        <v>0.97499999999999998</v>
      </c>
      <c r="N21">
        <v>1.2499999999999956E-2</v>
      </c>
      <c r="O21">
        <v>0.96250000000000002</v>
      </c>
      <c r="P21">
        <v>3.7499999999999978E-2</v>
      </c>
      <c r="Q21">
        <v>3.2000000000000001E-2</v>
      </c>
      <c r="R21">
        <v>6.4864090669833452E-2</v>
      </c>
      <c r="S21" t="e">
        <f>HLOOKUP(A21,'SFY-CPR'!$B$1:$CK$26,26,FALSE)</f>
        <v>#N/A</v>
      </c>
    </row>
    <row r="22" spans="1:19" x14ac:dyDescent="0.3">
      <c r="A22" t="s">
        <v>108</v>
      </c>
      <c r="B22" t="s">
        <v>55</v>
      </c>
      <c r="C22">
        <v>180</v>
      </c>
      <c r="D22">
        <v>10000</v>
      </c>
      <c r="E22">
        <v>8.4900000000000003E-2</v>
      </c>
      <c r="G22">
        <v>0.12</v>
      </c>
      <c r="H22">
        <v>0</v>
      </c>
      <c r="I22">
        <v>2.0000000000000002E-5</v>
      </c>
      <c r="J22">
        <v>0.15</v>
      </c>
      <c r="M22">
        <v>0.97499999999999998</v>
      </c>
      <c r="N22">
        <v>1.2499999999999956E-2</v>
      </c>
      <c r="O22">
        <v>0.96250000000000002</v>
      </c>
      <c r="P22">
        <v>3.7499999999999978E-2</v>
      </c>
      <c r="Q22">
        <v>3.2000000000000001E-2</v>
      </c>
      <c r="R22">
        <v>6.3424106119425616E-2</v>
      </c>
      <c r="S22" t="e">
        <f>HLOOKUP(A22,'SFY-CPR'!$B$1:$CK$26,26,FALSE)</f>
        <v>#N/A</v>
      </c>
    </row>
    <row r="23" spans="1:19" x14ac:dyDescent="0.3">
      <c r="A23" t="s">
        <v>109</v>
      </c>
      <c r="B23" t="s">
        <v>18</v>
      </c>
      <c r="C23">
        <v>120</v>
      </c>
      <c r="D23">
        <v>10000</v>
      </c>
      <c r="E23">
        <v>0.13900000000000001</v>
      </c>
      <c r="G23">
        <v>0.16300000000000001</v>
      </c>
      <c r="H23">
        <v>0</v>
      </c>
      <c r="I23">
        <v>2.0000000000000002E-5</v>
      </c>
      <c r="J23">
        <v>0.15</v>
      </c>
      <c r="M23">
        <v>0.96249999999999991</v>
      </c>
      <c r="N23">
        <v>1.2499999999999956E-2</v>
      </c>
      <c r="O23">
        <v>0.95</v>
      </c>
      <c r="P23">
        <v>5.0000000000000044E-2</v>
      </c>
      <c r="Q23">
        <v>9.64E-2</v>
      </c>
      <c r="R23">
        <v>6.5834671930558031E-2</v>
      </c>
      <c r="S23" t="e">
        <f>HLOOKUP(A23,'SFY-CPR'!$B$1:$CK$26,26,FALSE)</f>
        <v>#N/A</v>
      </c>
    </row>
    <row r="24" spans="1:19" x14ac:dyDescent="0.3">
      <c r="A24" t="s">
        <v>110</v>
      </c>
      <c r="B24" t="s">
        <v>56</v>
      </c>
      <c r="C24">
        <v>63</v>
      </c>
      <c r="D24">
        <v>9084.7488118811889</v>
      </c>
      <c r="E24">
        <v>8.4900000000000003E-2</v>
      </c>
      <c r="F24">
        <v>9.6455382426090999E-3</v>
      </c>
      <c r="G24">
        <v>0.23</v>
      </c>
      <c r="H24">
        <v>0</v>
      </c>
      <c r="I24">
        <v>2.0000000000000002E-5</v>
      </c>
      <c r="J24">
        <v>0.15</v>
      </c>
      <c r="K24">
        <v>3</v>
      </c>
      <c r="L24">
        <v>0.15622342731096903</v>
      </c>
      <c r="M24">
        <v>0.99750000000000005</v>
      </c>
      <c r="N24">
        <v>1.2499999999999956E-2</v>
      </c>
      <c r="O24">
        <v>0.9850000000000001</v>
      </c>
      <c r="P24">
        <v>1.4999999999999902E-2</v>
      </c>
      <c r="Q24">
        <v>9.6455382426090999E-3</v>
      </c>
      <c r="R24">
        <v>6.5451837057858953E-2</v>
      </c>
      <c r="S24" t="str">
        <f>HLOOKUP(A24,'SFY-CPR'!$B$1:$CK$26,26,FALSE)</f>
        <v>0.0436711592742046;0.051181123470062;0.0613711445667025</v>
      </c>
    </row>
    <row r="25" spans="1:19" x14ac:dyDescent="0.3">
      <c r="A25" t="s">
        <v>111</v>
      </c>
      <c r="B25" t="s">
        <v>30</v>
      </c>
      <c r="C25">
        <v>63</v>
      </c>
      <c r="D25">
        <v>9084.7488118811889</v>
      </c>
      <c r="E25">
        <v>0.10489999999999999</v>
      </c>
      <c r="F25">
        <v>2.2875839999999995E-2</v>
      </c>
      <c r="G25">
        <v>0.23</v>
      </c>
      <c r="H25">
        <v>0</v>
      </c>
      <c r="I25">
        <v>2.0000000000000002E-5</v>
      </c>
      <c r="J25">
        <v>0.15</v>
      </c>
      <c r="K25">
        <v>3</v>
      </c>
      <c r="L25">
        <v>0.15622342731096903</v>
      </c>
      <c r="M25">
        <v>0.99750000000000005</v>
      </c>
      <c r="N25">
        <v>1.2499999999999956E-2</v>
      </c>
      <c r="O25">
        <v>0.9850000000000001</v>
      </c>
      <c r="P25">
        <v>1.4999999999999902E-2</v>
      </c>
      <c r="Q25">
        <v>2.2875839999999995E-2</v>
      </c>
      <c r="R25">
        <v>7.0468849462134386E-2</v>
      </c>
      <c r="S25" t="str">
        <f>HLOOKUP(A25,'SFY-CPR'!$B$1:$CK$26,26,FALSE)</f>
        <v>0.0436711592742046;0.051181123470062;0.0613711445667025</v>
      </c>
    </row>
    <row r="26" spans="1:19" x14ac:dyDescent="0.3">
      <c r="A26" t="s">
        <v>112</v>
      </c>
      <c r="B26" t="s">
        <v>43</v>
      </c>
      <c r="C26">
        <v>63</v>
      </c>
      <c r="D26">
        <v>9084.7488118811889</v>
      </c>
      <c r="E26">
        <v>0.13489999999999999</v>
      </c>
      <c r="F26">
        <v>4.4341440000000003E-2</v>
      </c>
      <c r="G26">
        <v>0.23</v>
      </c>
      <c r="H26">
        <v>0</v>
      </c>
      <c r="I26">
        <v>2.0000000000000002E-5</v>
      </c>
      <c r="J26">
        <v>0.15</v>
      </c>
      <c r="K26">
        <v>3</v>
      </c>
      <c r="L26">
        <v>0.15622342731096903</v>
      </c>
      <c r="M26">
        <v>0.99750000000000005</v>
      </c>
      <c r="N26">
        <v>1.2499999999999956E-2</v>
      </c>
      <c r="O26">
        <v>0.9850000000000001</v>
      </c>
      <c r="P26">
        <v>1.4999999999999902E-2</v>
      </c>
      <c r="Q26">
        <v>4.4341440000000003E-2</v>
      </c>
      <c r="R26">
        <v>7.5940042614292658E-2</v>
      </c>
      <c r="S26" t="str">
        <f>HLOOKUP(A26,'SFY-CPR'!$B$1:$CK$26,26,FALSE)</f>
        <v>0.0436711592742046;0.051181123470062;0.0613711445667025</v>
      </c>
    </row>
    <row r="27" spans="1:19" x14ac:dyDescent="0.3">
      <c r="A27" t="s">
        <v>113</v>
      </c>
      <c r="B27" t="s">
        <v>51</v>
      </c>
      <c r="C27">
        <v>186</v>
      </c>
      <c r="D27">
        <v>9084.7488118811889</v>
      </c>
      <c r="E27">
        <v>6.4899999999999999E-2</v>
      </c>
      <c r="F27">
        <v>9.4255199999999997E-3</v>
      </c>
      <c r="G27">
        <v>0.23</v>
      </c>
      <c r="H27">
        <v>0</v>
      </c>
      <c r="I27">
        <v>2.0000000000000002E-5</v>
      </c>
      <c r="J27">
        <v>0.15</v>
      </c>
      <c r="K27">
        <v>6</v>
      </c>
      <c r="L27">
        <v>0.39420056660076597</v>
      </c>
      <c r="M27">
        <v>0.98500000000000021</v>
      </c>
      <c r="N27">
        <v>1.2499999999999956E-2</v>
      </c>
      <c r="O27">
        <v>0.97250000000000025</v>
      </c>
      <c r="P27">
        <v>2.7499999999999747E-2</v>
      </c>
      <c r="Q27">
        <v>9.4255199999999997E-3</v>
      </c>
      <c r="R27">
        <v>5.0167018721524848E-2</v>
      </c>
      <c r="S27" t="str">
        <f>HLOOKUP(A27,'SFY-CPR'!$B$1:$CK$26,26,FALSE)</f>
        <v>0.0489849142849816;0.0428030164624041;0.0419287220074737;0.0555459909257746;0.0882837424238861;0.116654180496246</v>
      </c>
    </row>
    <row r="28" spans="1:19" x14ac:dyDescent="0.3">
      <c r="A28" t="s">
        <v>114</v>
      </c>
      <c r="B28" t="s">
        <v>29</v>
      </c>
      <c r="C28">
        <v>186</v>
      </c>
      <c r="D28">
        <v>9084.7488118811889</v>
      </c>
      <c r="E28">
        <v>0.10489999999999999</v>
      </c>
      <c r="F28">
        <v>1.8188040000000003E-2</v>
      </c>
      <c r="G28">
        <v>0.23</v>
      </c>
      <c r="H28">
        <v>0</v>
      </c>
      <c r="I28">
        <v>2.0000000000000002E-5</v>
      </c>
      <c r="J28">
        <v>0.15</v>
      </c>
      <c r="K28">
        <v>6</v>
      </c>
      <c r="L28">
        <v>0.39420056660076597</v>
      </c>
      <c r="M28">
        <v>0.98500000000000021</v>
      </c>
      <c r="N28">
        <v>1.2499999999999956E-2</v>
      </c>
      <c r="O28">
        <v>0.97250000000000025</v>
      </c>
      <c r="P28">
        <v>2.7499999999999747E-2</v>
      </c>
      <c r="Q28">
        <v>1.8188040000000003E-2</v>
      </c>
      <c r="R28">
        <v>7.3033018447633324E-2</v>
      </c>
      <c r="S28" t="str">
        <f>HLOOKUP(A28,'SFY-CPR'!$B$1:$CK$26,26,FALSE)</f>
        <v>0.0489849142849816;0.0428030164624041;0.0419287220074737;0.0555459909257746;0.0882837424238861;0.116654180496246</v>
      </c>
    </row>
    <row r="29" spans="1:19" s="4" customFormat="1" x14ac:dyDescent="0.3">
      <c r="A29" s="4" t="s">
        <v>115</v>
      </c>
      <c r="B29" t="e">
        <v>#N/A</v>
      </c>
      <c r="C29" s="4">
        <v>186</v>
      </c>
      <c r="D29" s="4">
        <v>9084.7488118811889</v>
      </c>
      <c r="E29" s="4">
        <v>0.1149</v>
      </c>
      <c r="F29" s="4">
        <v>1.71288E-2</v>
      </c>
      <c r="G29" s="4">
        <v>0.23</v>
      </c>
      <c r="H29" s="4">
        <v>0</v>
      </c>
      <c r="I29" s="4">
        <v>2.0000000000000002E-5</v>
      </c>
      <c r="J29" s="4">
        <v>0.15</v>
      </c>
      <c r="K29" s="4">
        <v>6</v>
      </c>
      <c r="L29" s="4">
        <v>0.39420056660076597</v>
      </c>
      <c r="M29" s="4">
        <v>0.98500000000000021</v>
      </c>
      <c r="N29" s="4">
        <v>1.2499999999999956E-2</v>
      </c>
      <c r="O29" s="4">
        <v>0.97250000000000025</v>
      </c>
      <c r="P29" s="4">
        <v>2.7499999999999747E-2</v>
      </c>
      <c r="Q29" s="4">
        <v>1.71288E-2</v>
      </c>
      <c r="R29" s="4">
        <v>8.1515636333583608E-2</v>
      </c>
      <c r="S29" t="str">
        <f>HLOOKUP(A29,'SFY-CPR'!$B$1:$CK$26,26,FALSE)</f>
        <v>0.0489849142849816;0.0428030164624041;0.0419287220074737;0.0555459909257746;0.0882837424238861;0.116654180496246</v>
      </c>
    </row>
    <row r="30" spans="1:19" x14ac:dyDescent="0.3">
      <c r="A30" t="s">
        <v>116</v>
      </c>
      <c r="B30" t="s">
        <v>42</v>
      </c>
      <c r="C30">
        <v>186</v>
      </c>
      <c r="D30">
        <v>9084.7488118811889</v>
      </c>
      <c r="E30">
        <v>0.13489999999999999</v>
      </c>
      <c r="F30">
        <v>3.702192E-2</v>
      </c>
      <c r="G30">
        <v>0.23</v>
      </c>
      <c r="H30">
        <v>0</v>
      </c>
      <c r="I30">
        <v>2.0000000000000002E-5</v>
      </c>
      <c r="J30">
        <v>0.15</v>
      </c>
      <c r="K30">
        <v>6</v>
      </c>
      <c r="L30">
        <v>0.39420056660076597</v>
      </c>
      <c r="M30">
        <v>0.98500000000000021</v>
      </c>
      <c r="N30">
        <v>1.2499999999999956E-2</v>
      </c>
      <c r="O30">
        <v>0.97250000000000025</v>
      </c>
      <c r="P30">
        <v>2.7499999999999747E-2</v>
      </c>
      <c r="Q30">
        <v>3.702192E-2</v>
      </c>
      <c r="R30">
        <v>7.8291412166770158E-2</v>
      </c>
      <c r="S30" t="str">
        <f>HLOOKUP(A30,'SFY-CPR'!$B$1:$CK$26,26,FALSE)</f>
        <v>0.0489849142849816;0.0428030164624041;0.0419287220074737;0.0555459909257746;0.0882837424238861;0.116654180496246</v>
      </c>
    </row>
    <row r="31" spans="1:19" x14ac:dyDescent="0.3">
      <c r="A31" t="s">
        <v>117</v>
      </c>
      <c r="B31" t="s">
        <v>54</v>
      </c>
      <c r="C31">
        <v>132</v>
      </c>
      <c r="D31">
        <v>9084.7488118811889</v>
      </c>
      <c r="E31">
        <v>8.4900000000000003E-2</v>
      </c>
      <c r="F31">
        <v>1.0758484962910148E-2</v>
      </c>
      <c r="G31">
        <v>0.23</v>
      </c>
      <c r="H31">
        <v>0</v>
      </c>
      <c r="I31">
        <v>2.0000000000000002E-5</v>
      </c>
      <c r="J31">
        <v>0.15</v>
      </c>
      <c r="K31">
        <v>12</v>
      </c>
      <c r="L31">
        <v>0.5</v>
      </c>
      <c r="M31">
        <v>0.97499999999999953</v>
      </c>
      <c r="N31">
        <v>1.2499999999999956E-2</v>
      </c>
      <c r="O31">
        <v>0.96249999999999958</v>
      </c>
      <c r="P31">
        <v>3.7500000000000422E-2</v>
      </c>
      <c r="Q31">
        <v>1.0758484962910148E-2</v>
      </c>
      <c r="R31">
        <v>5.2671865471270785E-2</v>
      </c>
      <c r="S31" t="str">
        <f>HLOOKUP(A31,'SFY-CPR'!$B$1:$CK$26,26,FALSE)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2" spans="1:19" x14ac:dyDescent="0.3">
      <c r="A32" t="s">
        <v>118</v>
      </c>
      <c r="B32" t="s">
        <v>28</v>
      </c>
      <c r="C32">
        <v>132</v>
      </c>
      <c r="D32">
        <v>9084.7488118811889</v>
      </c>
      <c r="E32">
        <v>0.10489999999999999</v>
      </c>
      <c r="F32">
        <v>2.1116159999999998E-2</v>
      </c>
      <c r="G32">
        <v>0.23</v>
      </c>
      <c r="H32">
        <v>0</v>
      </c>
      <c r="I32">
        <v>2.0000000000000002E-5</v>
      </c>
      <c r="J32">
        <v>0.15</v>
      </c>
      <c r="K32">
        <v>12</v>
      </c>
      <c r="L32">
        <v>0.5</v>
      </c>
      <c r="M32">
        <v>0.97499999999999953</v>
      </c>
      <c r="N32">
        <v>1.2499999999999956E-2</v>
      </c>
      <c r="O32">
        <v>0.96249999999999958</v>
      </c>
      <c r="P32">
        <v>3.7500000000000422E-2</v>
      </c>
      <c r="Q32">
        <v>2.1116159999999998E-2</v>
      </c>
      <c r="R32">
        <v>5.466488328660013E-2</v>
      </c>
      <c r="S32" t="str">
        <f>HLOOKUP(A32,'SFY-CPR'!$B$1:$CK$26,26,FALSE)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3" spans="1:19" x14ac:dyDescent="0.3">
      <c r="A33" t="s">
        <v>119</v>
      </c>
      <c r="B33" t="s">
        <v>41</v>
      </c>
      <c r="C33">
        <v>132</v>
      </c>
      <c r="D33">
        <v>9084.7488118811889</v>
      </c>
      <c r="E33">
        <v>0.13489999999999999</v>
      </c>
      <c r="F33">
        <v>4.2219840000000008E-2</v>
      </c>
      <c r="G33">
        <v>0.23</v>
      </c>
      <c r="H33">
        <v>0</v>
      </c>
      <c r="I33">
        <v>2.0000000000000002E-5</v>
      </c>
      <c r="J33">
        <v>0.15</v>
      </c>
      <c r="K33">
        <v>12</v>
      </c>
      <c r="L33">
        <v>0.5</v>
      </c>
      <c r="M33">
        <v>0.97499999999999953</v>
      </c>
      <c r="N33">
        <v>1.2499999999999956E-2</v>
      </c>
      <c r="O33">
        <v>0.96249999999999958</v>
      </c>
      <c r="P33">
        <v>3.7500000000000422E-2</v>
      </c>
      <c r="Q33">
        <v>4.2219840000000008E-2</v>
      </c>
      <c r="R33">
        <v>5.1833322117508907E-2</v>
      </c>
      <c r="S33" t="str">
        <f>HLOOKUP(A33,'SFY-CPR'!$B$1:$CK$26,26,FALSE)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4" spans="1:19" x14ac:dyDescent="0.3">
      <c r="A34" t="s">
        <v>120</v>
      </c>
      <c r="B34" t="s">
        <v>64</v>
      </c>
      <c r="C34">
        <v>63</v>
      </c>
      <c r="D34">
        <v>9084.7488118811889</v>
      </c>
      <c r="E34">
        <v>9.4899999999999998E-2</v>
      </c>
      <c r="F34">
        <v>5.1999999999999998E-3</v>
      </c>
      <c r="G34">
        <v>0.23</v>
      </c>
      <c r="H34">
        <v>0</v>
      </c>
      <c r="I34">
        <v>2.0000000000000002E-5</v>
      </c>
      <c r="J34">
        <v>0.15</v>
      </c>
      <c r="K34">
        <v>3</v>
      </c>
      <c r="L34">
        <v>0.15622342731096903</v>
      </c>
      <c r="M34">
        <v>0.99750000000000005</v>
      </c>
      <c r="N34">
        <v>1.2499999999999956E-2</v>
      </c>
      <c r="O34">
        <v>0.9850000000000001</v>
      </c>
      <c r="P34">
        <v>1.4999999999999902E-2</v>
      </c>
      <c r="Q34">
        <v>9.6455382426090999E-3</v>
      </c>
      <c r="R34">
        <v>7.4458816202809253E-2</v>
      </c>
      <c r="S34" t="str">
        <f>HLOOKUP(A34,'SFY-CPR'!$B$1:$CK$26,26,FALSE)</f>
        <v>0.0436711592742046;0.051181123470062;0.0613711445667025</v>
      </c>
    </row>
    <row r="35" spans="1:19" x14ac:dyDescent="0.3">
      <c r="A35" t="s">
        <v>121</v>
      </c>
      <c r="B35" t="s">
        <v>36</v>
      </c>
      <c r="C35">
        <v>63</v>
      </c>
      <c r="D35">
        <v>9084.7488118811889</v>
      </c>
      <c r="E35">
        <v>0.1149</v>
      </c>
      <c r="F35">
        <v>1.5599999999999999E-2</v>
      </c>
      <c r="G35">
        <v>0.23</v>
      </c>
      <c r="H35">
        <v>0</v>
      </c>
      <c r="I35">
        <v>2.0000000000000002E-5</v>
      </c>
      <c r="J35">
        <v>0.15</v>
      </c>
      <c r="K35">
        <v>3</v>
      </c>
      <c r="L35">
        <v>0.15622342731096903</v>
      </c>
      <c r="M35">
        <v>0.99750000000000005</v>
      </c>
      <c r="N35">
        <v>1.2499999999999956E-2</v>
      </c>
      <c r="O35">
        <v>0.9850000000000001</v>
      </c>
      <c r="P35">
        <v>1.4999999999999902E-2</v>
      </c>
      <c r="Q35">
        <v>2.2875839999999995E-2</v>
      </c>
      <c r="R35">
        <v>7.9787006114787395E-2</v>
      </c>
      <c r="S35" t="str">
        <f>HLOOKUP(A35,'SFY-CPR'!$B$1:$CK$26,26,FALSE)</f>
        <v>0.0436711592742046;0.051181123470062;0.0613711445667025</v>
      </c>
    </row>
    <row r="36" spans="1:19" x14ac:dyDescent="0.3">
      <c r="A36" t="s">
        <v>122</v>
      </c>
      <c r="B36" t="s">
        <v>66</v>
      </c>
      <c r="C36">
        <v>63</v>
      </c>
      <c r="D36">
        <v>9084.7488118811889</v>
      </c>
      <c r="E36">
        <v>0.1249</v>
      </c>
      <c r="F36">
        <v>2.69E-2</v>
      </c>
      <c r="G36">
        <v>0.23</v>
      </c>
      <c r="H36">
        <v>0</v>
      </c>
      <c r="I36">
        <v>2.0000000000000002E-5</v>
      </c>
      <c r="J36">
        <v>0.15</v>
      </c>
      <c r="K36">
        <v>3</v>
      </c>
      <c r="L36">
        <v>0.15622342731096903</v>
      </c>
      <c r="M36">
        <v>0.99750000000000005</v>
      </c>
      <c r="N36">
        <v>1.2499999999999956E-2</v>
      </c>
      <c r="O36">
        <v>0.9850000000000001</v>
      </c>
      <c r="P36">
        <v>1.4999999999999902E-2</v>
      </c>
      <c r="Q36">
        <v>2.0981999999999997E-2</v>
      </c>
      <c r="R36">
        <v>8.8064198921838255E-2</v>
      </c>
      <c r="S36" t="str">
        <f>HLOOKUP(A36,'SFY-CPR'!$B$1:$CK$26,26,FALSE)</f>
        <v>0.0436711592742046;0.051181123470062;0.0613711445667025</v>
      </c>
    </row>
    <row r="37" spans="1:19" x14ac:dyDescent="0.3">
      <c r="A37" t="s">
        <v>123</v>
      </c>
      <c r="B37" t="s">
        <v>65</v>
      </c>
      <c r="C37">
        <v>63</v>
      </c>
      <c r="D37">
        <v>9084.7488118811889</v>
      </c>
      <c r="E37">
        <v>0.1449</v>
      </c>
      <c r="F37">
        <v>4.1799999999999997E-2</v>
      </c>
      <c r="G37">
        <v>0.23</v>
      </c>
      <c r="H37">
        <v>0</v>
      </c>
      <c r="I37">
        <v>2.0000000000000002E-5</v>
      </c>
      <c r="J37">
        <v>0.15</v>
      </c>
      <c r="K37">
        <v>3</v>
      </c>
      <c r="L37">
        <v>0.15622342731096903</v>
      </c>
      <c r="M37">
        <v>0.99750000000000005</v>
      </c>
      <c r="N37">
        <v>1.2499999999999956E-2</v>
      </c>
      <c r="O37">
        <v>0.9850000000000001</v>
      </c>
      <c r="P37">
        <v>1.4999999999999902E-2</v>
      </c>
      <c r="Q37">
        <v>4.4341440000000003E-2</v>
      </c>
      <c r="R37">
        <v>8.4518153718173394E-2</v>
      </c>
      <c r="S37" t="str">
        <f>HLOOKUP(A37,'SFY-CPR'!$B$1:$CK$26,26,FALSE)</f>
        <v>0.0436711592742046;0.051181123470062;0.0613711445667025</v>
      </c>
    </row>
    <row r="38" spans="1:19" x14ac:dyDescent="0.3">
      <c r="A38" t="s">
        <v>124</v>
      </c>
      <c r="B38" t="s">
        <v>67</v>
      </c>
      <c r="C38">
        <v>186</v>
      </c>
      <c r="D38">
        <v>9084.7488118811889</v>
      </c>
      <c r="E38">
        <v>7.4899999999999994E-2</v>
      </c>
      <c r="F38">
        <v>5.3E-3</v>
      </c>
      <c r="G38">
        <v>0.23</v>
      </c>
      <c r="H38">
        <v>0</v>
      </c>
      <c r="I38">
        <v>2.0000000000000002E-5</v>
      </c>
      <c r="J38">
        <v>0.15</v>
      </c>
      <c r="K38">
        <v>6</v>
      </c>
      <c r="L38">
        <v>0.39420056660076597</v>
      </c>
      <c r="M38">
        <v>0.98500000000000021</v>
      </c>
      <c r="N38">
        <v>1.2499999999999956E-2</v>
      </c>
      <c r="O38">
        <v>0.97250000000000025</v>
      </c>
      <c r="P38">
        <v>2.7499999999999747E-2</v>
      </c>
      <c r="Q38">
        <v>9.4255199999999997E-3</v>
      </c>
      <c r="R38">
        <v>5.8692560628250234E-2</v>
      </c>
      <c r="S38" t="str">
        <f>HLOOKUP(A38,'SFY-CPR'!$B$1:$CK$26,26,FALSE)</f>
        <v>0.0489849142849816;0.0428030164624041;0.0419287220074737;0.0555459909257746;0.0882837424238861;0.116654180496246</v>
      </c>
    </row>
    <row r="39" spans="1:19" x14ac:dyDescent="0.3">
      <c r="A39" t="s">
        <v>125</v>
      </c>
      <c r="B39" t="s">
        <v>35</v>
      </c>
      <c r="C39">
        <v>186</v>
      </c>
      <c r="D39">
        <v>9084.7488118811889</v>
      </c>
      <c r="E39">
        <v>0.1149</v>
      </c>
      <c r="F39">
        <v>1.3100000000000001E-2</v>
      </c>
      <c r="G39">
        <v>0.23</v>
      </c>
      <c r="H39">
        <v>0</v>
      </c>
      <c r="I39">
        <v>2.0000000000000002E-5</v>
      </c>
      <c r="J39">
        <v>0.15</v>
      </c>
      <c r="K39">
        <v>6</v>
      </c>
      <c r="L39">
        <v>0.39420056660076597</v>
      </c>
      <c r="M39">
        <v>0.98500000000000021</v>
      </c>
      <c r="N39">
        <v>1.2499999999999956E-2</v>
      </c>
      <c r="O39">
        <v>0.97250000000000025</v>
      </c>
      <c r="P39">
        <v>2.7499999999999747E-2</v>
      </c>
      <c r="Q39">
        <v>1.8188040000000003E-2</v>
      </c>
      <c r="R39">
        <v>8.1576783408107367E-2</v>
      </c>
      <c r="S39" t="str">
        <f>HLOOKUP(A39,'SFY-CPR'!$B$1:$CK$26,26,FALSE)</f>
        <v>0.0489849142849816;0.0428030164624041;0.0419287220074737;0.0555459909257746;0.0882837424238861;0.116654180496246</v>
      </c>
    </row>
    <row r="40" spans="1:19" x14ac:dyDescent="0.3">
      <c r="A40" t="s">
        <v>126</v>
      </c>
      <c r="B40" t="s">
        <v>68</v>
      </c>
      <c r="C40">
        <v>186</v>
      </c>
      <c r="D40">
        <v>9084.7488118811889</v>
      </c>
      <c r="E40">
        <v>0.1249</v>
      </c>
      <c r="F40">
        <v>2.4400000000000002E-2</v>
      </c>
      <c r="G40">
        <v>0.23</v>
      </c>
      <c r="H40">
        <v>0</v>
      </c>
      <c r="I40">
        <v>2.0000000000000002E-5</v>
      </c>
      <c r="J40">
        <v>0.15</v>
      </c>
      <c r="K40">
        <v>6</v>
      </c>
      <c r="L40">
        <v>0.39420056660076597</v>
      </c>
      <c r="M40">
        <v>0.98500000000000021</v>
      </c>
      <c r="N40">
        <v>1.2499999999999956E-2</v>
      </c>
      <c r="O40">
        <v>0.97250000000000025</v>
      </c>
      <c r="P40">
        <v>2.7499999999999747E-2</v>
      </c>
      <c r="Q40">
        <v>1.71288E-2</v>
      </c>
      <c r="R40">
        <v>8.7522637474884313E-2</v>
      </c>
      <c r="S40" t="str">
        <f>HLOOKUP(A40,'SFY-CPR'!$B$1:$CK$26,26,FALSE)</f>
        <v>0.0489849142849816;0.0428030164624041;0.0419287220074737;0.0555459909257746;0.0882837424238861;0.116654180496246</v>
      </c>
    </row>
    <row r="41" spans="1:19" x14ac:dyDescent="0.3">
      <c r="A41" t="s">
        <v>127</v>
      </c>
      <c r="B41" t="s">
        <v>69</v>
      </c>
      <c r="C41">
        <v>186</v>
      </c>
      <c r="D41">
        <v>9084.7488118811889</v>
      </c>
      <c r="E41">
        <v>0.1449</v>
      </c>
      <c r="F41">
        <v>3.49E-2</v>
      </c>
      <c r="G41">
        <v>0.23</v>
      </c>
      <c r="H41">
        <v>0</v>
      </c>
      <c r="I41">
        <v>2.0000000000000002E-5</v>
      </c>
      <c r="J41">
        <v>0.15</v>
      </c>
      <c r="K41">
        <v>6</v>
      </c>
      <c r="L41">
        <v>0.39420056660076597</v>
      </c>
      <c r="M41">
        <v>0.98500000000000021</v>
      </c>
      <c r="N41">
        <v>1.2499999999999956E-2</v>
      </c>
      <c r="O41">
        <v>0.97250000000000025</v>
      </c>
      <c r="P41">
        <v>2.7499999999999747E-2</v>
      </c>
      <c r="Q41">
        <v>3.702192E-2</v>
      </c>
      <c r="R41">
        <v>8.604695129906581E-2</v>
      </c>
      <c r="S41" t="str">
        <f>HLOOKUP(A41,'SFY-CPR'!$B$1:$CK$26,26,FALSE)</f>
        <v>0.0489849142849816;0.0428030164624041;0.0419287220074737;0.0555459909257746;0.0882837424238861;0.116654180496246</v>
      </c>
    </row>
    <row r="42" spans="1:19" x14ac:dyDescent="0.3">
      <c r="A42" t="s">
        <v>128</v>
      </c>
      <c r="B42" t="s">
        <v>62</v>
      </c>
      <c r="C42">
        <v>132</v>
      </c>
      <c r="D42">
        <v>9084.7488118811889</v>
      </c>
      <c r="E42">
        <v>9.4899999999999998E-2</v>
      </c>
      <c r="F42">
        <v>5.7999999999999996E-3</v>
      </c>
      <c r="G42">
        <v>0.23</v>
      </c>
      <c r="H42">
        <v>0</v>
      </c>
      <c r="I42">
        <v>2.0000000000000002E-5</v>
      </c>
      <c r="J42">
        <v>0.15</v>
      </c>
      <c r="K42">
        <v>12</v>
      </c>
      <c r="L42">
        <v>0.5</v>
      </c>
      <c r="M42">
        <v>0.97499999999999953</v>
      </c>
      <c r="N42">
        <v>1.2499999999999956E-2</v>
      </c>
      <c r="O42">
        <v>0.96249999999999958</v>
      </c>
      <c r="P42">
        <v>3.7500000000000422E-2</v>
      </c>
      <c r="Q42">
        <v>1.0758484962910148E-2</v>
      </c>
      <c r="R42">
        <v>6.0181719776185361E-2</v>
      </c>
      <c r="S42" t="str">
        <f>HLOOKUP(A42,'SFY-CPR'!$B$1:$CK$26,26,FALSE)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3" spans="1:19" x14ac:dyDescent="0.3">
      <c r="A43" t="s">
        <v>129</v>
      </c>
      <c r="B43" t="s">
        <v>34</v>
      </c>
      <c r="C43">
        <v>132</v>
      </c>
      <c r="D43">
        <v>9084.7488118811889</v>
      </c>
      <c r="E43">
        <v>0.1149</v>
      </c>
      <c r="F43">
        <v>1.44E-2</v>
      </c>
      <c r="G43">
        <v>0.23</v>
      </c>
      <c r="H43">
        <v>0</v>
      </c>
      <c r="I43">
        <v>2.0000000000000002E-5</v>
      </c>
      <c r="J43">
        <v>0.15</v>
      </c>
      <c r="K43">
        <v>12</v>
      </c>
      <c r="L43">
        <v>0.5</v>
      </c>
      <c r="M43">
        <v>0.97499999999999953</v>
      </c>
      <c r="N43">
        <v>1.2499999999999956E-2</v>
      </c>
      <c r="O43">
        <v>0.96249999999999958</v>
      </c>
      <c r="P43">
        <v>3.7500000000000422E-2</v>
      </c>
      <c r="Q43">
        <v>2.1116159999999998E-2</v>
      </c>
      <c r="R43">
        <v>6.2764004201427248E-2</v>
      </c>
      <c r="S43" t="str">
        <f>HLOOKUP(A43,'SFY-CPR'!$B$1:$CK$26,26,FALSE)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4" spans="1:19" x14ac:dyDescent="0.3">
      <c r="A44" t="s">
        <v>130</v>
      </c>
      <c r="B44" t="s">
        <v>70</v>
      </c>
      <c r="C44">
        <v>132</v>
      </c>
      <c r="D44">
        <v>9084.7488118811889</v>
      </c>
      <c r="E44">
        <v>0.1249</v>
      </c>
      <c r="F44">
        <v>2.6499999999999999E-2</v>
      </c>
      <c r="G44">
        <v>0.23</v>
      </c>
      <c r="H44">
        <v>0</v>
      </c>
      <c r="I44">
        <v>2.0000000000000002E-5</v>
      </c>
      <c r="J44">
        <v>0.15</v>
      </c>
      <c r="K44">
        <v>12</v>
      </c>
      <c r="L44">
        <v>0.5</v>
      </c>
      <c r="M44">
        <v>0.97499999999999953</v>
      </c>
      <c r="N44">
        <v>1.2499999999999956E-2</v>
      </c>
      <c r="O44">
        <v>0.96249999999999958</v>
      </c>
      <c r="P44">
        <v>3.7500000000000422E-2</v>
      </c>
      <c r="Q44">
        <v>2.0669999999999997E-2</v>
      </c>
      <c r="R44">
        <v>6.3904039996713458E-2</v>
      </c>
      <c r="S44" t="str">
        <f>HLOOKUP(A44,'SFY-CPR'!$B$1:$CK$26,26,FALSE)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5" spans="1:19" x14ac:dyDescent="0.3">
      <c r="A45" t="s">
        <v>131</v>
      </c>
      <c r="B45" t="s">
        <v>47</v>
      </c>
      <c r="C45">
        <v>132</v>
      </c>
      <c r="D45">
        <v>9084.7488118811889</v>
      </c>
      <c r="E45">
        <v>0.1449</v>
      </c>
      <c r="F45">
        <v>3.9800000000000002E-2</v>
      </c>
      <c r="G45">
        <v>0.23</v>
      </c>
      <c r="H45">
        <v>0</v>
      </c>
      <c r="I45">
        <v>2.0000000000000002E-5</v>
      </c>
      <c r="J45">
        <v>0.15</v>
      </c>
      <c r="K45">
        <v>12</v>
      </c>
      <c r="L45">
        <v>0.5</v>
      </c>
      <c r="M45">
        <v>0.97499999999999953</v>
      </c>
      <c r="N45">
        <v>1.2499999999999956E-2</v>
      </c>
      <c r="O45">
        <v>0.96249999999999958</v>
      </c>
      <c r="P45">
        <v>3.7500000000000422E-2</v>
      </c>
      <c r="Q45">
        <v>4.2219840000000008E-2</v>
      </c>
      <c r="R45">
        <v>5.8137248365740746E-2</v>
      </c>
      <c r="S45" t="str">
        <f>HLOOKUP(A45,'SFY-CPR'!$B$1:$CK$26,26,FALSE)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6" spans="1:19" x14ac:dyDescent="0.3">
      <c r="A46" t="s">
        <v>132</v>
      </c>
      <c r="B46" t="s">
        <v>61</v>
      </c>
      <c r="C46">
        <v>120</v>
      </c>
      <c r="D46">
        <v>10000</v>
      </c>
      <c r="E46">
        <v>9.4899999999999998E-2</v>
      </c>
      <c r="G46">
        <v>0.12</v>
      </c>
      <c r="H46">
        <v>0</v>
      </c>
      <c r="I46">
        <v>2.0000000000000002E-5</v>
      </c>
      <c r="J46">
        <v>0.15</v>
      </c>
      <c r="M46">
        <v>0.97499999999999998</v>
      </c>
      <c r="N46">
        <v>1.2499999999999956E-2</v>
      </c>
      <c r="O46">
        <v>0.96250000000000002</v>
      </c>
      <c r="P46">
        <v>3.7499999999999978E-2</v>
      </c>
      <c r="Q46">
        <v>3.2000000000000001E-2</v>
      </c>
      <c r="R46">
        <v>7.487519420835298E-2</v>
      </c>
      <c r="S46" t="e">
        <f>HLOOKUP(A46,'SFY-CPR'!$B$1:$CK$26,26,FALSE)</f>
        <v>#N/A</v>
      </c>
    </row>
    <row r="47" spans="1:19" x14ac:dyDescent="0.3">
      <c r="A47" t="s">
        <v>133</v>
      </c>
      <c r="B47" t="s">
        <v>19</v>
      </c>
      <c r="C47">
        <v>120</v>
      </c>
      <c r="D47">
        <v>10000</v>
      </c>
      <c r="E47">
        <v>0.14899999999999999</v>
      </c>
      <c r="G47">
        <v>0.16300000000000001</v>
      </c>
      <c r="H47">
        <v>0</v>
      </c>
      <c r="I47">
        <v>2.0000000000000002E-5</v>
      </c>
      <c r="J47">
        <v>0.15</v>
      </c>
      <c r="M47">
        <v>0.96249999999999991</v>
      </c>
      <c r="N47">
        <v>1.2499999999999956E-2</v>
      </c>
      <c r="O47">
        <v>0.95</v>
      </c>
      <c r="P47">
        <v>5.0000000000000044E-2</v>
      </c>
      <c r="Q47">
        <v>9.64E-2</v>
      </c>
      <c r="R47">
        <v>7.5692744295664305E-2</v>
      </c>
      <c r="S47" t="e">
        <f>HLOOKUP(A47,'SFY-CPR'!$B$1:$CK$26,26,FALSE)</f>
        <v>#N/A</v>
      </c>
    </row>
    <row r="48" spans="1:19" x14ac:dyDescent="0.3">
      <c r="A48" t="s">
        <v>134</v>
      </c>
      <c r="B48" t="s">
        <v>50</v>
      </c>
      <c r="C48">
        <v>132</v>
      </c>
      <c r="D48">
        <v>9084.7488118811889</v>
      </c>
      <c r="E48">
        <v>6.4899999999999999E-2</v>
      </c>
      <c r="F48">
        <v>5.7999999999999996E-3</v>
      </c>
      <c r="G48">
        <v>0.23</v>
      </c>
      <c r="H48">
        <v>0</v>
      </c>
      <c r="I48">
        <v>2.0000000000000002E-5</v>
      </c>
      <c r="J48">
        <v>0.15</v>
      </c>
      <c r="K48">
        <v>12</v>
      </c>
      <c r="L48">
        <v>0.5</v>
      </c>
      <c r="M48">
        <v>0.97499999999999953</v>
      </c>
      <c r="N48">
        <v>1.2499999999999956E-2</v>
      </c>
      <c r="O48">
        <v>0.96249999999999958</v>
      </c>
      <c r="P48">
        <v>3.7500000000000422E-2</v>
      </c>
      <c r="Q48">
        <v>1.0758484962910148E-2</v>
      </c>
      <c r="R48">
        <v>4.3008321682507678E-2</v>
      </c>
      <c r="S48" t="str">
        <f>HLOOKUP(A48,'SFY-CPR'!$B$1:$CK$26,26,FALSE)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9" spans="1:19" s="4" customFormat="1" x14ac:dyDescent="0.3">
      <c r="A49" s="4" t="s">
        <v>135</v>
      </c>
      <c r="B49" t="e">
        <v>#N/A</v>
      </c>
      <c r="C49" s="4">
        <v>128</v>
      </c>
      <c r="D49" s="4">
        <v>9084.7488118811889</v>
      </c>
      <c r="E49" s="4">
        <v>0.1149</v>
      </c>
      <c r="F49" s="4">
        <v>2.6499999999999999E-2</v>
      </c>
      <c r="G49" s="4">
        <v>0.23</v>
      </c>
      <c r="H49" s="4">
        <v>0</v>
      </c>
      <c r="I49" s="4">
        <v>2.0000000000000002E-5</v>
      </c>
      <c r="J49" s="4">
        <v>0.15</v>
      </c>
      <c r="K49" s="4">
        <v>8</v>
      </c>
      <c r="L49" s="4">
        <v>0.40566869532198813</v>
      </c>
      <c r="M49" s="4">
        <v>0.97499999999999953</v>
      </c>
      <c r="N49" s="4">
        <v>1.2499999999999956E-2</v>
      </c>
      <c r="O49" s="4">
        <v>0.96249999999999958</v>
      </c>
      <c r="P49" s="4">
        <v>3.7500000000000422E-2</v>
      </c>
      <c r="Q49" s="4">
        <v>2.0669999999999997E-2</v>
      </c>
      <c r="R49" s="4">
        <v>7.3948807065910671E-2</v>
      </c>
      <c r="S49" t="str">
        <f>HLOOKUP(A49,'SFY-CPR'!$B$1:$CK$26,26,FALSE)</f>
        <v>0.051131697230109;0.0436978084665345;0.0436978084665345;0.0381831435752355;0.0381831435752355;0.037403214648288;0.037403214648288;0.115968664711763</v>
      </c>
    </row>
    <row r="50" spans="1:19" x14ac:dyDescent="0.3">
      <c r="A50" t="s">
        <v>136</v>
      </c>
      <c r="B50" t="s">
        <v>40</v>
      </c>
      <c r="C50">
        <v>128</v>
      </c>
      <c r="D50">
        <v>9084.7488118811889</v>
      </c>
      <c r="E50">
        <v>0.1149</v>
      </c>
      <c r="F50">
        <v>2.6499999999999999E-2</v>
      </c>
      <c r="G50">
        <v>0.23</v>
      </c>
      <c r="H50">
        <v>0</v>
      </c>
      <c r="I50">
        <v>2.0000000000000002E-5</v>
      </c>
      <c r="J50">
        <v>0.15</v>
      </c>
      <c r="K50">
        <v>8</v>
      </c>
      <c r="L50">
        <v>0.40566869532198813</v>
      </c>
      <c r="M50">
        <v>0.97499999999999953</v>
      </c>
      <c r="N50">
        <v>1.2499999999999956E-2</v>
      </c>
      <c r="O50">
        <v>0.96249999999999958</v>
      </c>
      <c r="P50">
        <v>3.7500000000000422E-2</v>
      </c>
      <c r="Q50">
        <v>4.2219840000000008E-2</v>
      </c>
      <c r="R50">
        <v>6.0249359129343816E-2</v>
      </c>
      <c r="S50" t="str">
        <f>HLOOKUP(A50,'SFY-CPR'!$B$1:$CK$26,26,FALSE)</f>
        <v>0.051131697230109;0.0436978084665345;0.0436978084665345;0.0381831435752355;0.0381831435752355;0.037403214648288;0.037403214648288;0.115968664711763</v>
      </c>
    </row>
    <row r="51" spans="1:19" x14ac:dyDescent="0.3">
      <c r="A51" t="s">
        <v>137</v>
      </c>
      <c r="B51" t="s">
        <v>11</v>
      </c>
      <c r="C51">
        <v>36</v>
      </c>
      <c r="D51">
        <v>10226.825036496351</v>
      </c>
      <c r="E51">
        <v>0</v>
      </c>
      <c r="G51">
        <v>0.214</v>
      </c>
      <c r="H51">
        <v>0</v>
      </c>
      <c r="I51">
        <v>2.0000000000000002E-5</v>
      </c>
      <c r="J51">
        <v>0.15</v>
      </c>
      <c r="M51">
        <v>0.91249999999999998</v>
      </c>
      <c r="N51">
        <v>1.2499999999999956E-2</v>
      </c>
      <c r="O51">
        <v>0.9</v>
      </c>
      <c r="P51">
        <v>9.9999999999999978E-2</v>
      </c>
      <c r="Q51">
        <v>1.2745879517815056E-2</v>
      </c>
      <c r="R51">
        <v>6.4694889578977843E-2</v>
      </c>
      <c r="S51" t="e">
        <f>HLOOKUP(A51,'SFY-CPR'!$B$1:$CK$26,26,FALSE)</f>
        <v>#N/A</v>
      </c>
    </row>
    <row r="52" spans="1:19" x14ac:dyDescent="0.3">
      <c r="A52" t="s">
        <v>138</v>
      </c>
      <c r="B52" t="s">
        <v>12</v>
      </c>
      <c r="C52">
        <v>60</v>
      </c>
      <c r="D52">
        <v>11934.351599780104</v>
      </c>
      <c r="E52">
        <v>0</v>
      </c>
      <c r="G52">
        <v>0.13900000000000001</v>
      </c>
      <c r="H52">
        <v>0</v>
      </c>
      <c r="I52">
        <v>2.0000000000000002E-5</v>
      </c>
      <c r="J52">
        <v>0.15</v>
      </c>
      <c r="M52">
        <v>0.87749999999999995</v>
      </c>
      <c r="N52">
        <v>1.2499999999999956E-2</v>
      </c>
      <c r="O52">
        <v>0.86499999999999999</v>
      </c>
      <c r="P52">
        <v>0.13500000000000001</v>
      </c>
      <c r="Q52">
        <v>1.5293939643738309E-2</v>
      </c>
      <c r="R52">
        <v>5.3756466862924235E-2</v>
      </c>
      <c r="S52" t="e">
        <f>HLOOKUP(A52,'SFY-CPR'!$B$1:$CK$26,26,FALSE)</f>
        <v>#N/A</v>
      </c>
    </row>
    <row r="53" spans="1:19" s="4" customFormat="1" x14ac:dyDescent="0.3">
      <c r="A53" s="4" t="s">
        <v>139</v>
      </c>
      <c r="B53" t="e">
        <v>#N/A</v>
      </c>
      <c r="C53" s="4">
        <v>123</v>
      </c>
      <c r="D53" s="4">
        <v>10000</v>
      </c>
      <c r="E53" s="4">
        <v>9.9000000000000005E-2</v>
      </c>
      <c r="F53" s="4">
        <v>9.9055277267159434E-3</v>
      </c>
      <c r="G53" s="4">
        <v>0.316</v>
      </c>
      <c r="H53" s="4">
        <v>0</v>
      </c>
      <c r="I53" s="4">
        <v>2.0000000000000002E-5</v>
      </c>
      <c r="J53" s="4">
        <v>0.15</v>
      </c>
      <c r="K53" s="4">
        <v>3</v>
      </c>
      <c r="L53" s="4">
        <v>0.15622342731096903</v>
      </c>
      <c r="M53" s="4">
        <v>0.99749999999999994</v>
      </c>
      <c r="N53" s="4">
        <v>1.2499999999999956E-2</v>
      </c>
      <c r="O53" s="4">
        <v>0.98499999999999999</v>
      </c>
      <c r="P53" s="4">
        <v>1.5000000000000013E-2</v>
      </c>
      <c r="Q53" s="4">
        <v>3.1899999999999998E-2</v>
      </c>
      <c r="R53" s="4">
        <v>6.1287121664697075E-2</v>
      </c>
      <c r="S53" t="str">
        <f>HLOOKUP(A53,'SFY-CPR'!$B$1:$CK$26,26,FALSE)</f>
        <v>0.0436711592742046;0.051181123470062;0.0613711445667025</v>
      </c>
    </row>
    <row r="54" spans="1:19" s="4" customFormat="1" x14ac:dyDescent="0.3">
      <c r="A54" s="4" t="s">
        <v>140</v>
      </c>
      <c r="B54" t="e">
        <v>#N/A</v>
      </c>
      <c r="C54" s="4">
        <v>183</v>
      </c>
      <c r="D54" s="4">
        <v>10000</v>
      </c>
      <c r="E54" s="4">
        <v>9.9000000000000005E-2</v>
      </c>
      <c r="F54" s="4">
        <v>9.3474245143323042E-3</v>
      </c>
      <c r="G54" s="4">
        <v>0.316</v>
      </c>
      <c r="H54" s="4">
        <v>0</v>
      </c>
      <c r="I54" s="4">
        <v>2.0000000000000002E-5</v>
      </c>
      <c r="J54" s="4">
        <v>0.15</v>
      </c>
      <c r="K54" s="4">
        <v>3</v>
      </c>
      <c r="L54" s="4">
        <v>0.15622342731096903</v>
      </c>
      <c r="M54" s="4">
        <v>0.98499999999999999</v>
      </c>
      <c r="N54" s="4">
        <v>1.2499999999999956E-2</v>
      </c>
      <c r="O54" s="4">
        <v>0.97250000000000003</v>
      </c>
      <c r="P54" s="4">
        <v>2.7499999999999969E-2</v>
      </c>
      <c r="Q54" s="4">
        <v>3.1899999999999998E-2</v>
      </c>
      <c r="R54" s="4">
        <v>6.8588400589196574E-2</v>
      </c>
      <c r="S54" t="str">
        <f>HLOOKUP(A54,'SFY-CPR'!$B$1:$CK$26,26,FALSE)</f>
        <v>0.0436711592742046;0.051181123470062;0.0613711445667025</v>
      </c>
    </row>
    <row r="55" spans="1:19" s="4" customFormat="1" x14ac:dyDescent="0.3">
      <c r="A55" s="4" t="s">
        <v>141</v>
      </c>
      <c r="B55" t="e">
        <v>#N/A</v>
      </c>
      <c r="C55" s="4">
        <v>183</v>
      </c>
      <c r="D55" s="4">
        <v>10000</v>
      </c>
      <c r="E55" s="4">
        <v>8.4900000000000003E-2</v>
      </c>
      <c r="F55" s="4">
        <v>1.2500000000000001E-2</v>
      </c>
      <c r="G55" s="4">
        <v>0.316</v>
      </c>
      <c r="H55" s="4">
        <v>0</v>
      </c>
      <c r="I55" s="4">
        <v>2.0000000000000002E-5</v>
      </c>
      <c r="J55" s="4">
        <v>0.15</v>
      </c>
      <c r="K55" s="4">
        <v>3</v>
      </c>
      <c r="L55" s="4">
        <v>0.15622342731096903</v>
      </c>
      <c r="M55" s="4">
        <v>0.96649999999999991</v>
      </c>
      <c r="N55" s="4">
        <v>1.2499999999999956E-2</v>
      </c>
      <c r="O55" s="4">
        <v>0.95399999999999996</v>
      </c>
      <c r="P55" s="4">
        <v>4.6000000000000041E-2</v>
      </c>
      <c r="Q55" s="4">
        <v>3.2000000000000001E-2</v>
      </c>
      <c r="R55" s="4">
        <v>6.5942260982825296E-2</v>
      </c>
      <c r="S55" t="str">
        <f>HLOOKUP(A55,'SFY-CPR'!$B$1:$CK$26,26,FALSE)</f>
        <v>0.0436711592742046;0.051181123470062;0.0613711445667025</v>
      </c>
    </row>
    <row r="56" spans="1:19" x14ac:dyDescent="0.3">
      <c r="A56" t="s">
        <v>142</v>
      </c>
      <c r="B56" t="s">
        <v>27</v>
      </c>
      <c r="C56">
        <v>120</v>
      </c>
      <c r="D56">
        <v>10000</v>
      </c>
      <c r="E56">
        <v>0.1099</v>
      </c>
      <c r="G56">
        <v>0.16300000000000001</v>
      </c>
      <c r="H56">
        <v>0</v>
      </c>
      <c r="I56">
        <v>2.0000000000000002E-5</v>
      </c>
      <c r="J56">
        <v>0.15</v>
      </c>
      <c r="M56">
        <v>0.89249999999999996</v>
      </c>
      <c r="N56">
        <v>1.2499999999999956E-2</v>
      </c>
      <c r="O56">
        <v>0.88</v>
      </c>
      <c r="P56">
        <v>0.12</v>
      </c>
      <c r="Q56">
        <v>9.64E-2</v>
      </c>
      <c r="R56">
        <v>6.7758857780146897E-2</v>
      </c>
      <c r="S56" t="e">
        <f>HLOOKUP(A56,'SFY-CPR'!$B$1:$CK$26,26,FALSE)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C0B5-25D7-47A0-9B07-D33CF56E7819}">
  <dimension ref="A1:CK26"/>
  <sheetViews>
    <sheetView topLeftCell="BN1" workbookViewId="0">
      <selection activeCell="CB26" sqref="CB26"/>
    </sheetView>
  </sheetViews>
  <sheetFormatPr defaultRowHeight="14.4" x14ac:dyDescent="0.3"/>
  <sheetData>
    <row r="1" spans="1:89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  <c r="AI1" t="s">
        <v>110</v>
      </c>
      <c r="AJ1" t="s">
        <v>111</v>
      </c>
      <c r="AK1" t="s">
        <v>166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167</v>
      </c>
      <c r="AT1" t="s">
        <v>119</v>
      </c>
      <c r="AU1" t="s">
        <v>120</v>
      </c>
      <c r="AV1" t="s">
        <v>121</v>
      </c>
      <c r="AW1" t="s">
        <v>122</v>
      </c>
      <c r="AX1" t="s">
        <v>123</v>
      </c>
      <c r="AY1" t="s">
        <v>124</v>
      </c>
      <c r="AZ1" t="s">
        <v>125</v>
      </c>
      <c r="BA1" t="s">
        <v>126</v>
      </c>
      <c r="BB1" t="s">
        <v>127</v>
      </c>
      <c r="BC1" t="s">
        <v>128</v>
      </c>
      <c r="BD1" t="s">
        <v>129</v>
      </c>
      <c r="BE1" t="s">
        <v>130</v>
      </c>
      <c r="BF1" t="s">
        <v>131</v>
      </c>
      <c r="BG1" t="s">
        <v>134</v>
      </c>
      <c r="BH1" t="s">
        <v>135</v>
      </c>
      <c r="BI1" t="s">
        <v>136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139</v>
      </c>
      <c r="BP1" t="s">
        <v>173</v>
      </c>
      <c r="BQ1" t="s">
        <v>174</v>
      </c>
      <c r="BR1" t="s">
        <v>175</v>
      </c>
      <c r="BS1" t="s">
        <v>176</v>
      </c>
      <c r="BT1" t="s">
        <v>140</v>
      </c>
      <c r="BU1" t="s">
        <v>177</v>
      </c>
      <c r="BV1" t="s">
        <v>178</v>
      </c>
      <c r="BW1" t="s">
        <v>179</v>
      </c>
      <c r="BX1" t="s">
        <v>180</v>
      </c>
      <c r="BY1" t="s">
        <v>181</v>
      </c>
      <c r="BZ1" t="s">
        <v>182</v>
      </c>
      <c r="CA1" t="s">
        <v>183</v>
      </c>
      <c r="CB1" t="s">
        <v>184</v>
      </c>
      <c r="CC1" t="s">
        <v>141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</row>
    <row r="2" spans="1:89" x14ac:dyDescent="0.3">
      <c r="A2">
        <v>1</v>
      </c>
      <c r="B2">
        <v>0.33366366942247766</v>
      </c>
      <c r="C2">
        <v>0.12881708927153382</v>
      </c>
      <c r="D2">
        <v>6.7633349879308385E-2</v>
      </c>
      <c r="E2">
        <v>3.9703346185265796E-2</v>
      </c>
      <c r="F2">
        <v>3.0268230339093809E-2</v>
      </c>
      <c r="G2">
        <v>0.09</v>
      </c>
      <c r="H2">
        <v>4.4999999999999998E-2</v>
      </c>
      <c r="I2">
        <v>0.03</v>
      </c>
      <c r="J2">
        <v>5.0200338204017612E-2</v>
      </c>
      <c r="K2">
        <v>5.2132744120853093E-2</v>
      </c>
      <c r="L2">
        <v>2.8671159274204605E-2</v>
      </c>
      <c r="M2">
        <v>4.8984914284981605E-2</v>
      </c>
      <c r="N2">
        <v>4.5242224320499319E-2</v>
      </c>
      <c r="O2">
        <v>3.3671159274204603E-2</v>
      </c>
      <c r="P2">
        <v>6.7214363401919747E-2</v>
      </c>
      <c r="Q2">
        <v>4.7410485996840335E-2</v>
      </c>
      <c r="R2">
        <v>4.3671159274204605E-2</v>
      </c>
      <c r="S2">
        <v>6.7214363401919747E-2</v>
      </c>
      <c r="T2">
        <v>6.7214363401919747E-2</v>
      </c>
      <c r="U2">
        <v>4.7272958479143486E-2</v>
      </c>
      <c r="V2">
        <v>4.7272958479143486E-2</v>
      </c>
      <c r="W2">
        <v>4.3671159274204605E-2</v>
      </c>
      <c r="X2">
        <v>4.3671159274204605E-2</v>
      </c>
      <c r="Y2">
        <v>4.3671159274204605E-2</v>
      </c>
      <c r="Z2">
        <v>4.3671159274204605E-2</v>
      </c>
      <c r="AA2">
        <v>4.8984914284981605E-2</v>
      </c>
      <c r="AB2">
        <v>4.8984914284981605E-2</v>
      </c>
      <c r="AC2">
        <v>4.8984914284981605E-2</v>
      </c>
      <c r="AD2">
        <v>4.8984914284981605E-2</v>
      </c>
      <c r="AE2">
        <v>3.4087798153406033E-2</v>
      </c>
      <c r="AF2">
        <v>3.4087798153406033E-2</v>
      </c>
      <c r="AG2">
        <v>3.4087798153406033E-2</v>
      </c>
      <c r="AH2">
        <v>3.4087798153406033E-2</v>
      </c>
      <c r="AI2">
        <v>4.3671159274204605E-2</v>
      </c>
      <c r="AJ2">
        <v>4.3671159274204605E-2</v>
      </c>
      <c r="AK2">
        <v>4.3671159274204605E-2</v>
      </c>
      <c r="AL2">
        <v>4.3671159274204605E-2</v>
      </c>
      <c r="AM2">
        <v>4.8984914284981605E-2</v>
      </c>
      <c r="AN2">
        <v>4.8984914284981605E-2</v>
      </c>
      <c r="AO2">
        <v>4.8984914284981605E-2</v>
      </c>
      <c r="AP2">
        <v>4.8984914284981605E-2</v>
      </c>
      <c r="AQ2">
        <v>3.4087798153406033E-2</v>
      </c>
      <c r="AR2">
        <v>3.4087798153406033E-2</v>
      </c>
      <c r="AS2">
        <v>3.4087798153406033E-2</v>
      </c>
      <c r="AT2">
        <v>3.4087798153406033E-2</v>
      </c>
      <c r="AU2">
        <v>4.3671159274204605E-2</v>
      </c>
      <c r="AV2">
        <v>4.3671159274204605E-2</v>
      </c>
      <c r="AW2">
        <v>4.3671159274204605E-2</v>
      </c>
      <c r="AX2">
        <v>4.3671159274204605E-2</v>
      </c>
      <c r="AY2">
        <v>4.8984914284981605E-2</v>
      </c>
      <c r="AZ2">
        <v>4.8984914284981605E-2</v>
      </c>
      <c r="BA2">
        <v>4.8984914284981605E-2</v>
      </c>
      <c r="BB2">
        <v>4.8984914284981605E-2</v>
      </c>
      <c r="BC2">
        <v>3.4087798153406033E-2</v>
      </c>
      <c r="BD2">
        <v>3.4087798153406033E-2</v>
      </c>
      <c r="BE2">
        <v>3.4087798153406033E-2</v>
      </c>
      <c r="BF2">
        <v>3.4087798153406033E-2</v>
      </c>
      <c r="BG2">
        <v>3.4087798153406033E-2</v>
      </c>
      <c r="BH2">
        <v>5.1131697230109047E-2</v>
      </c>
      <c r="BI2">
        <v>5.1131697230109047E-2</v>
      </c>
      <c r="BJ2">
        <v>4.3671159274204605E-2</v>
      </c>
      <c r="BK2">
        <v>4.8984914284981605E-2</v>
      </c>
      <c r="BL2">
        <v>3.4087798153406033E-2</v>
      </c>
      <c r="BM2">
        <v>0.04</v>
      </c>
      <c r="BN2">
        <v>3.5999999999999997E-2</v>
      </c>
      <c r="BO2">
        <v>4.3671159274204605E-2</v>
      </c>
      <c r="BP2">
        <v>4.3671159274204605E-2</v>
      </c>
      <c r="BQ2">
        <v>4.3671159274204605E-2</v>
      </c>
      <c r="BR2">
        <v>4.3671159274204605E-2</v>
      </c>
      <c r="BS2">
        <v>4.3671159274204605E-2</v>
      </c>
      <c r="BT2">
        <v>4.3671159274204605E-2</v>
      </c>
      <c r="BU2">
        <v>4.3671159274204605E-2</v>
      </c>
      <c r="BV2">
        <v>4.3671159274204605E-2</v>
      </c>
      <c r="BW2">
        <v>4.3671159274204605E-2</v>
      </c>
      <c r="BX2">
        <v>4.3671159274204605E-2</v>
      </c>
      <c r="BY2">
        <v>6.4439052608357736E-2</v>
      </c>
      <c r="BZ2">
        <v>3.7828172316257076E-2</v>
      </c>
      <c r="CA2">
        <v>6.1498594049325138E-2</v>
      </c>
      <c r="CB2">
        <v>4.1451801713657685E-2</v>
      </c>
      <c r="CC2">
        <v>4.3671159274204605E-2</v>
      </c>
      <c r="CD2">
        <v>4.7272958479143486E-2</v>
      </c>
      <c r="CE2">
        <v>0.18955419818088334</v>
      </c>
      <c r="CF2">
        <v>9.742644019130306E-2</v>
      </c>
      <c r="CG2">
        <v>6.4594796557274972E-2</v>
      </c>
      <c r="CH2">
        <v>4.353873027534038E-2</v>
      </c>
      <c r="CI2">
        <v>0.11</v>
      </c>
      <c r="CJ2">
        <v>5.7000000000000002E-2</v>
      </c>
      <c r="CK2">
        <v>5.5E-2</v>
      </c>
    </row>
    <row r="3" spans="1:89" x14ac:dyDescent="0.3">
      <c r="A3">
        <v>2</v>
      </c>
      <c r="B3">
        <v>0.27123217065050953</v>
      </c>
      <c r="C3">
        <v>0.10904922611392982</v>
      </c>
      <c r="D3">
        <v>5.3375652101027772E-2</v>
      </c>
      <c r="E3">
        <v>3.6357158829913777E-2</v>
      </c>
      <c r="F3">
        <v>3.5600135982233924E-2</v>
      </c>
      <c r="G3">
        <v>0.06</v>
      </c>
      <c r="H3">
        <v>4.4999999999999998E-2</v>
      </c>
      <c r="I3">
        <v>0.03</v>
      </c>
      <c r="J3">
        <v>5.1770624948636025E-2</v>
      </c>
      <c r="K3">
        <v>5.3114819452559185E-2</v>
      </c>
      <c r="L3">
        <v>3.6181123470061971E-2</v>
      </c>
      <c r="M3">
        <v>4.2803016462404121E-2</v>
      </c>
      <c r="N3">
        <v>5.5332981280215653E-2</v>
      </c>
      <c r="O3">
        <v>4.1181123470061969E-2</v>
      </c>
      <c r="P3">
        <v>5.8731908490537936E-2</v>
      </c>
      <c r="Q3">
        <v>5.5563488075600763E-2</v>
      </c>
      <c r="R3">
        <v>5.118112347006197E-2</v>
      </c>
      <c r="S3">
        <v>5.8731908490537936E-2</v>
      </c>
      <c r="T3">
        <v>5.8731908490537936E-2</v>
      </c>
      <c r="U3">
        <v>4.0400080520926689E-2</v>
      </c>
      <c r="V3">
        <v>4.0400080520926689E-2</v>
      </c>
      <c r="W3">
        <v>5.118112347006197E-2</v>
      </c>
      <c r="X3">
        <v>5.118112347006197E-2</v>
      </c>
      <c r="Y3">
        <v>5.118112347006197E-2</v>
      </c>
      <c r="Z3">
        <v>5.118112347006197E-2</v>
      </c>
      <c r="AA3">
        <v>4.2803016462404121E-2</v>
      </c>
      <c r="AB3">
        <v>4.2803016462404121E-2</v>
      </c>
      <c r="AC3">
        <v>4.2803016462404121E-2</v>
      </c>
      <c r="AD3">
        <v>4.2803016462404121E-2</v>
      </c>
      <c r="AE3">
        <v>2.9131872311022992E-2</v>
      </c>
      <c r="AF3">
        <v>2.9131872311022992E-2</v>
      </c>
      <c r="AG3">
        <v>2.9131872311022992E-2</v>
      </c>
      <c r="AH3">
        <v>2.9131872311022992E-2</v>
      </c>
      <c r="AI3">
        <v>5.118112347006197E-2</v>
      </c>
      <c r="AJ3">
        <v>5.118112347006197E-2</v>
      </c>
      <c r="AK3">
        <v>5.118112347006197E-2</v>
      </c>
      <c r="AL3">
        <v>5.118112347006197E-2</v>
      </c>
      <c r="AM3">
        <v>4.2803016462404121E-2</v>
      </c>
      <c r="AN3">
        <v>4.2803016462404121E-2</v>
      </c>
      <c r="AO3">
        <v>4.2803016462404121E-2</v>
      </c>
      <c r="AP3">
        <v>4.2803016462404121E-2</v>
      </c>
      <c r="AQ3">
        <v>2.9131872311022992E-2</v>
      </c>
      <c r="AR3">
        <v>2.9131872311022992E-2</v>
      </c>
      <c r="AS3">
        <v>2.9131872311022992E-2</v>
      </c>
      <c r="AT3">
        <v>2.9131872311022992E-2</v>
      </c>
      <c r="AU3">
        <v>5.118112347006197E-2</v>
      </c>
      <c r="AV3">
        <v>5.118112347006197E-2</v>
      </c>
      <c r="AW3">
        <v>5.118112347006197E-2</v>
      </c>
      <c r="AX3">
        <v>5.118112347006197E-2</v>
      </c>
      <c r="AY3">
        <v>4.2803016462404121E-2</v>
      </c>
      <c r="AZ3">
        <v>4.2803016462404121E-2</v>
      </c>
      <c r="BA3">
        <v>4.2803016462404121E-2</v>
      </c>
      <c r="BB3">
        <v>4.2803016462404121E-2</v>
      </c>
      <c r="BC3">
        <v>2.9131872311022992E-2</v>
      </c>
      <c r="BD3">
        <v>2.9131872311022992E-2</v>
      </c>
      <c r="BE3">
        <v>2.9131872311022992E-2</v>
      </c>
      <c r="BF3">
        <v>2.9131872311022992E-2</v>
      </c>
      <c r="BG3">
        <v>2.9131872311022992E-2</v>
      </c>
      <c r="BH3">
        <v>4.3697808466534489E-2</v>
      </c>
      <c r="BI3">
        <v>4.3697808466534489E-2</v>
      </c>
      <c r="BJ3">
        <v>5.118112347006197E-2</v>
      </c>
      <c r="BK3">
        <v>4.2803016462404121E-2</v>
      </c>
      <c r="BL3">
        <v>2.9131872311022992E-2</v>
      </c>
      <c r="BM3">
        <v>0.04</v>
      </c>
      <c r="BN3">
        <v>3.5999999999999997E-2</v>
      </c>
      <c r="BO3">
        <v>5.118112347006197E-2</v>
      </c>
      <c r="BP3">
        <v>5.118112347006197E-2</v>
      </c>
      <c r="BQ3">
        <v>5.118112347006197E-2</v>
      </c>
      <c r="BR3">
        <v>5.118112347006197E-2</v>
      </c>
      <c r="BS3">
        <v>5.118112347006197E-2</v>
      </c>
      <c r="BT3">
        <v>5.118112347006197E-2</v>
      </c>
      <c r="BU3">
        <v>5.118112347006197E-2</v>
      </c>
      <c r="BV3">
        <v>5.118112347006197E-2</v>
      </c>
      <c r="BW3">
        <v>5.118112347006197E-2</v>
      </c>
      <c r="BX3">
        <v>5.118112347006197E-2</v>
      </c>
      <c r="BY3">
        <v>5.0854740448037387E-2</v>
      </c>
      <c r="BZ3">
        <v>3.4640024111063442E-2</v>
      </c>
      <c r="CA3">
        <v>4.3545474270276982E-2</v>
      </c>
      <c r="CB3">
        <v>2.8026264296560244E-2</v>
      </c>
      <c r="CC3">
        <v>5.118112347006197E-2</v>
      </c>
      <c r="CD3">
        <v>4.0400080520926689E-2</v>
      </c>
      <c r="CE3">
        <v>0.12676458131490115</v>
      </c>
      <c r="CF3">
        <v>6.7351181351160333E-2</v>
      </c>
      <c r="CG3">
        <v>4.5737810676168784E-2</v>
      </c>
      <c r="CH3">
        <v>2.9437271997547303E-2</v>
      </c>
      <c r="CI3">
        <v>7.0000000000000007E-2</v>
      </c>
      <c r="CJ3">
        <v>5.6000000000000001E-2</v>
      </c>
      <c r="CK3">
        <v>5.3999999999999999E-2</v>
      </c>
    </row>
    <row r="4" spans="1:89" x14ac:dyDescent="0.3">
      <c r="A4">
        <v>3</v>
      </c>
      <c r="B4">
        <v>0.37960415992701285</v>
      </c>
      <c r="C4">
        <v>0.10644286431367748</v>
      </c>
      <c r="D4">
        <v>5.3250045478004653E-2</v>
      </c>
      <c r="E4">
        <v>3.470970928411711E-2</v>
      </c>
      <c r="F4">
        <v>2.6489949813011334E-2</v>
      </c>
      <c r="G4">
        <v>0.06</v>
      </c>
      <c r="H4">
        <v>4.4999999999999998E-2</v>
      </c>
      <c r="I4">
        <v>0.03</v>
      </c>
      <c r="J4">
        <v>6.7629036847346377E-2</v>
      </c>
      <c r="K4">
        <v>6.4352436426587709E-2</v>
      </c>
      <c r="L4">
        <v>4.6371144566702459E-2</v>
      </c>
      <c r="M4">
        <v>4.1928722007473697E-2</v>
      </c>
      <c r="N4">
        <v>6.9024794399285036E-2</v>
      </c>
      <c r="O4">
        <v>5.1371144566702456E-2</v>
      </c>
      <c r="P4">
        <v>5.7532250471905987E-2</v>
      </c>
      <c r="Q4">
        <v>6.662602592755891E-2</v>
      </c>
      <c r="R4">
        <v>6.1371144566702458E-2</v>
      </c>
      <c r="S4">
        <v>5.7532250471905987E-2</v>
      </c>
      <c r="T4">
        <v>5.7532250471905987E-2</v>
      </c>
      <c r="U4">
        <v>4.0400080520926689E-2</v>
      </c>
      <c r="V4">
        <v>4.0400080520926689E-2</v>
      </c>
      <c r="W4">
        <v>6.1371144566702458E-2</v>
      </c>
      <c r="X4">
        <v>6.1371144566702458E-2</v>
      </c>
      <c r="Y4">
        <v>6.1371144566702458E-2</v>
      </c>
      <c r="Z4">
        <v>6.1371144566702458E-2</v>
      </c>
      <c r="AA4">
        <v>4.1928722007473697E-2</v>
      </c>
      <c r="AB4">
        <v>4.1928722007473697E-2</v>
      </c>
      <c r="AC4">
        <v>4.1928722007473697E-2</v>
      </c>
      <c r="AD4">
        <v>4.1928722007473697E-2</v>
      </c>
      <c r="AE4">
        <v>2.9131872311022992E-2</v>
      </c>
      <c r="AF4">
        <v>2.9131872311022992E-2</v>
      </c>
      <c r="AG4">
        <v>2.9131872311022992E-2</v>
      </c>
      <c r="AH4">
        <v>2.9131872311022992E-2</v>
      </c>
      <c r="AI4">
        <v>6.1371144566702458E-2</v>
      </c>
      <c r="AJ4">
        <v>6.1371144566702458E-2</v>
      </c>
      <c r="AK4">
        <v>6.1371144566702458E-2</v>
      </c>
      <c r="AL4">
        <v>6.1371144566702458E-2</v>
      </c>
      <c r="AM4">
        <v>4.1928722007473697E-2</v>
      </c>
      <c r="AN4">
        <v>4.1928722007473697E-2</v>
      </c>
      <c r="AO4">
        <v>4.1928722007473697E-2</v>
      </c>
      <c r="AP4">
        <v>4.1928722007473697E-2</v>
      </c>
      <c r="AQ4">
        <v>2.9131872311022992E-2</v>
      </c>
      <c r="AR4">
        <v>2.9131872311022992E-2</v>
      </c>
      <c r="AS4">
        <v>2.9131872311022992E-2</v>
      </c>
      <c r="AT4">
        <v>2.9131872311022992E-2</v>
      </c>
      <c r="AU4">
        <v>6.1371144566702458E-2</v>
      </c>
      <c r="AV4">
        <v>6.1371144566702458E-2</v>
      </c>
      <c r="AW4">
        <v>6.1371144566702458E-2</v>
      </c>
      <c r="AX4">
        <v>6.1371144566702458E-2</v>
      </c>
      <c r="AY4">
        <v>4.1928722007473697E-2</v>
      </c>
      <c r="AZ4">
        <v>4.1928722007473697E-2</v>
      </c>
      <c r="BA4">
        <v>4.1928722007473697E-2</v>
      </c>
      <c r="BB4">
        <v>4.1928722007473697E-2</v>
      </c>
      <c r="BC4">
        <v>2.9131872311022992E-2</v>
      </c>
      <c r="BD4">
        <v>2.9131872311022992E-2</v>
      </c>
      <c r="BE4">
        <v>2.9131872311022992E-2</v>
      </c>
      <c r="BF4">
        <v>2.9131872311022992E-2</v>
      </c>
      <c r="BG4">
        <v>2.9131872311022992E-2</v>
      </c>
      <c r="BH4">
        <v>4.3697808466534489E-2</v>
      </c>
      <c r="BI4">
        <v>4.3697808466534489E-2</v>
      </c>
      <c r="BJ4">
        <v>6.1371144566702458E-2</v>
      </c>
      <c r="BK4">
        <v>4.1928722007473697E-2</v>
      </c>
      <c r="BL4">
        <v>2.9131872311022992E-2</v>
      </c>
      <c r="BM4">
        <v>3.9E-2</v>
      </c>
      <c r="BN4">
        <v>3.5000000000000003E-2</v>
      </c>
      <c r="BO4">
        <v>6.1371144566702458E-2</v>
      </c>
      <c r="BP4">
        <v>6.1371144566702458E-2</v>
      </c>
      <c r="BQ4">
        <v>6.1371144566702458E-2</v>
      </c>
      <c r="BR4">
        <v>6.1371144566702458E-2</v>
      </c>
      <c r="BS4">
        <v>6.1371144566702458E-2</v>
      </c>
      <c r="BT4">
        <v>6.1371144566702458E-2</v>
      </c>
      <c r="BU4">
        <v>6.1371144566702458E-2</v>
      </c>
      <c r="BV4">
        <v>6.1371144566702458E-2</v>
      </c>
      <c r="BW4">
        <v>6.1371144566702458E-2</v>
      </c>
      <c r="BX4">
        <v>6.1371144566702458E-2</v>
      </c>
      <c r="BY4">
        <v>5.0735066177823231E-2</v>
      </c>
      <c r="BZ4">
        <v>3.307038297779636E-2</v>
      </c>
      <c r="CA4">
        <v>3.9774786458377738E-2</v>
      </c>
      <c r="CB4">
        <v>2.3879196413956624E-2</v>
      </c>
      <c r="CC4">
        <v>6.1371144566702458E-2</v>
      </c>
      <c r="CD4">
        <v>4.0400080520926689E-2</v>
      </c>
      <c r="CE4">
        <v>0.10935251539774826</v>
      </c>
      <c r="CF4">
        <v>6.3170267336726357E-2</v>
      </c>
      <c r="CG4">
        <v>4.1777284165672071E-2</v>
      </c>
      <c r="CH4">
        <v>2.508141622024064E-2</v>
      </c>
      <c r="CI4">
        <v>7.0000000000000007E-2</v>
      </c>
      <c r="CJ4">
        <v>5.6000000000000001E-2</v>
      </c>
      <c r="CK4">
        <v>4.8000000000000001E-2</v>
      </c>
    </row>
    <row r="5" spans="1:89" x14ac:dyDescent="0.3">
      <c r="A5">
        <v>4</v>
      </c>
      <c r="C5">
        <v>0.12017547209800519</v>
      </c>
      <c r="D5">
        <v>5.4283116609434433E-2</v>
      </c>
      <c r="E5">
        <v>3.5482691714609368E-2</v>
      </c>
      <c r="F5">
        <v>2.7871365927849452E-2</v>
      </c>
      <c r="G5">
        <v>0.06</v>
      </c>
      <c r="H5">
        <v>4.4999999999999998E-2</v>
      </c>
      <c r="I5">
        <v>0.03</v>
      </c>
      <c r="M5">
        <v>5.5545990925774613E-2</v>
      </c>
      <c r="P5">
        <v>7.6217106309184865E-2</v>
      </c>
      <c r="S5">
        <v>7.6217106309184865E-2</v>
      </c>
      <c r="T5">
        <v>7.6217106309184865E-2</v>
      </c>
      <c r="U5">
        <v>3.5301589006757748E-2</v>
      </c>
      <c r="V5">
        <v>3.5301589006757748E-2</v>
      </c>
      <c r="AA5">
        <v>5.5545990925774613E-2</v>
      </c>
      <c r="AB5">
        <v>5.5545990925774613E-2</v>
      </c>
      <c r="AC5">
        <v>5.5545990925774613E-2</v>
      </c>
      <c r="AD5">
        <v>5.5545990925774613E-2</v>
      </c>
      <c r="AE5">
        <v>2.5455429050157016E-2</v>
      </c>
      <c r="AF5">
        <v>2.5455429050157016E-2</v>
      </c>
      <c r="AG5">
        <v>2.5455429050157016E-2</v>
      </c>
      <c r="AH5">
        <v>2.5455429050157016E-2</v>
      </c>
      <c r="AM5">
        <v>5.5545990925774613E-2</v>
      </c>
      <c r="AN5">
        <v>5.5545990925774613E-2</v>
      </c>
      <c r="AO5">
        <v>5.5545990925774613E-2</v>
      </c>
      <c r="AP5">
        <v>5.5545990925774613E-2</v>
      </c>
      <c r="AQ5">
        <v>2.5455429050157016E-2</v>
      </c>
      <c r="AR5">
        <v>2.5455429050157016E-2</v>
      </c>
      <c r="AS5">
        <v>2.5455429050157016E-2</v>
      </c>
      <c r="AT5">
        <v>2.5455429050157016E-2</v>
      </c>
      <c r="AY5">
        <v>5.5545990925774613E-2</v>
      </c>
      <c r="AZ5">
        <v>5.5545990925774613E-2</v>
      </c>
      <c r="BA5">
        <v>5.5545990925774613E-2</v>
      </c>
      <c r="BB5">
        <v>5.5545990925774613E-2</v>
      </c>
      <c r="BC5">
        <v>2.5455429050157016E-2</v>
      </c>
      <c r="BD5">
        <v>2.5455429050157016E-2</v>
      </c>
      <c r="BE5">
        <v>2.5455429050157016E-2</v>
      </c>
      <c r="BF5">
        <v>2.5455429050157016E-2</v>
      </c>
      <c r="BG5">
        <v>2.5455429050157016E-2</v>
      </c>
      <c r="BH5">
        <v>3.8183143575235522E-2</v>
      </c>
      <c r="BI5">
        <v>3.8183143575235522E-2</v>
      </c>
      <c r="BK5">
        <v>5.5545990925774613E-2</v>
      </c>
      <c r="BL5">
        <v>2.5455429050157016E-2</v>
      </c>
      <c r="BM5">
        <v>4.3999999999999997E-2</v>
      </c>
      <c r="BN5">
        <v>0.04</v>
      </c>
      <c r="BY5">
        <v>5.1719345754469563E-2</v>
      </c>
      <c r="BZ5">
        <v>3.3806857743466159E-2</v>
      </c>
      <c r="CA5">
        <v>3.8192666845150304E-2</v>
      </c>
      <c r="CB5">
        <v>2.4341818092293546E-2</v>
      </c>
      <c r="CD5">
        <v>3.5301589006757748E-2</v>
      </c>
      <c r="CE5">
        <v>0.1205336077722534</v>
      </c>
      <c r="CF5">
        <v>6.0646889166786379E-2</v>
      </c>
      <c r="CG5">
        <v>4.0115511305243198E-2</v>
      </c>
      <c r="CH5">
        <v>2.556732900665639E-2</v>
      </c>
      <c r="CI5">
        <v>7.0000000000000007E-2</v>
      </c>
      <c r="CJ5">
        <v>5.6000000000000001E-2</v>
      </c>
      <c r="CK5">
        <v>4.2000000000000003E-2</v>
      </c>
    </row>
    <row r="6" spans="1:89" x14ac:dyDescent="0.3">
      <c r="A6">
        <v>5</v>
      </c>
      <c r="C6">
        <v>0.19757219530655307</v>
      </c>
      <c r="D6">
        <v>5.4772378878814303E-2</v>
      </c>
      <c r="E6">
        <v>3.7439795816501246E-2</v>
      </c>
      <c r="F6">
        <v>2.3758661217038617E-2</v>
      </c>
      <c r="G6">
        <v>0.06</v>
      </c>
      <c r="H6">
        <v>4.4999999999999998E-2</v>
      </c>
      <c r="I6">
        <v>0.03</v>
      </c>
      <c r="M6">
        <v>8.8283742423886133E-2</v>
      </c>
      <c r="P6">
        <v>0.12113802039620718</v>
      </c>
      <c r="S6">
        <v>0.12113802039620718</v>
      </c>
      <c r="T6">
        <v>0.12113802039620718</v>
      </c>
      <c r="U6">
        <v>3.5301589006757748E-2</v>
      </c>
      <c r="V6">
        <v>3.5301589006757748E-2</v>
      </c>
      <c r="AA6">
        <v>8.8283742423886133E-2</v>
      </c>
      <c r="AB6">
        <v>8.8283742423886133E-2</v>
      </c>
      <c r="AC6">
        <v>8.8283742423886133E-2</v>
      </c>
      <c r="AD6">
        <v>8.8283742423886133E-2</v>
      </c>
      <c r="AE6">
        <v>2.5455429050157016E-2</v>
      </c>
      <c r="AF6">
        <v>2.5455429050157016E-2</v>
      </c>
      <c r="AG6">
        <v>2.5455429050157016E-2</v>
      </c>
      <c r="AH6">
        <v>2.5455429050157016E-2</v>
      </c>
      <c r="AM6">
        <v>8.8283742423886133E-2</v>
      </c>
      <c r="AN6">
        <v>8.8283742423886133E-2</v>
      </c>
      <c r="AO6">
        <v>8.8283742423886133E-2</v>
      </c>
      <c r="AP6">
        <v>8.8283742423886133E-2</v>
      </c>
      <c r="AQ6">
        <v>2.5455429050157016E-2</v>
      </c>
      <c r="AR6">
        <v>2.5455429050157016E-2</v>
      </c>
      <c r="AS6">
        <v>2.5455429050157016E-2</v>
      </c>
      <c r="AT6">
        <v>2.5455429050157016E-2</v>
      </c>
      <c r="AY6">
        <v>8.8283742423886133E-2</v>
      </c>
      <c r="AZ6">
        <v>8.8283742423886133E-2</v>
      </c>
      <c r="BA6">
        <v>8.8283742423886133E-2</v>
      </c>
      <c r="BB6">
        <v>8.8283742423886133E-2</v>
      </c>
      <c r="BC6">
        <v>2.5455429050157016E-2</v>
      </c>
      <c r="BD6">
        <v>2.5455429050157016E-2</v>
      </c>
      <c r="BE6">
        <v>2.5455429050157016E-2</v>
      </c>
      <c r="BF6">
        <v>2.5455429050157016E-2</v>
      </c>
      <c r="BG6">
        <v>2.5455429050157016E-2</v>
      </c>
      <c r="BH6">
        <v>3.8183143575235522E-2</v>
      </c>
      <c r="BI6">
        <v>3.8183143575235522E-2</v>
      </c>
      <c r="BK6">
        <v>8.8283742423886133E-2</v>
      </c>
      <c r="BL6">
        <v>2.5455429050157016E-2</v>
      </c>
      <c r="BM6">
        <v>0.05</v>
      </c>
      <c r="BN6">
        <v>0.04</v>
      </c>
      <c r="BY6">
        <v>5.218550035382203E-2</v>
      </c>
      <c r="BZ6">
        <v>3.5671528566468325E-2</v>
      </c>
      <c r="CA6">
        <v>3.6894610193830904E-2</v>
      </c>
      <c r="CB6">
        <v>2.3940027457041775E-2</v>
      </c>
      <c r="CD6">
        <v>3.5301589006757748E-2</v>
      </c>
      <c r="CE6">
        <v>0.14001461628196663</v>
      </c>
      <c r="CF6">
        <v>6.1915996807844993E-2</v>
      </c>
      <c r="CG6">
        <v>3.8752102814236987E-2</v>
      </c>
      <c r="CH6">
        <v>2.514530985737486E-2</v>
      </c>
      <c r="CI6">
        <v>7.0000000000000007E-2</v>
      </c>
      <c r="CJ6">
        <v>5.6000000000000001E-2</v>
      </c>
      <c r="CK6">
        <v>3.2000000000000001E-2</v>
      </c>
    </row>
    <row r="7" spans="1:89" x14ac:dyDescent="0.3">
      <c r="A7">
        <v>6</v>
      </c>
      <c r="C7">
        <v>0.27934315289630068</v>
      </c>
      <c r="D7">
        <v>5.424475681317073E-2</v>
      </c>
      <c r="E7">
        <v>3.9737887495065009E-2</v>
      </c>
      <c r="F7">
        <v>2.5792206848164051E-2</v>
      </c>
      <c r="G7">
        <v>0.06</v>
      </c>
      <c r="H7">
        <v>4.4999999999999998E-2</v>
      </c>
      <c r="I7">
        <v>0.03</v>
      </c>
      <c r="M7">
        <v>0.11665418049624583</v>
      </c>
      <c r="P7">
        <v>0.16006635093024438</v>
      </c>
      <c r="S7">
        <v>0.16006635093024438</v>
      </c>
      <c r="T7">
        <v>0.16006635093024438</v>
      </c>
      <c r="U7">
        <v>3.4580518716163848E-2</v>
      </c>
      <c r="V7">
        <v>3.4580518716163848E-2</v>
      </c>
      <c r="AA7">
        <v>0.11665418049624583</v>
      </c>
      <c r="AB7">
        <v>0.11665418049624583</v>
      </c>
      <c r="AC7">
        <v>0.11665418049624583</v>
      </c>
      <c r="AD7">
        <v>0.11665418049624583</v>
      </c>
      <c r="AE7">
        <v>2.4935476432191989E-2</v>
      </c>
      <c r="AF7">
        <v>2.4935476432191989E-2</v>
      </c>
      <c r="AG7">
        <v>2.4935476432191989E-2</v>
      </c>
      <c r="AH7">
        <v>2.4935476432191989E-2</v>
      </c>
      <c r="AM7">
        <v>0.11665418049624583</v>
      </c>
      <c r="AN7">
        <v>0.11665418049624583</v>
      </c>
      <c r="AO7">
        <v>0.11665418049624583</v>
      </c>
      <c r="AP7">
        <v>0.11665418049624583</v>
      </c>
      <c r="AQ7">
        <v>2.4935476432191989E-2</v>
      </c>
      <c r="AR7">
        <v>2.4935476432191989E-2</v>
      </c>
      <c r="AS7">
        <v>2.4935476432191989E-2</v>
      </c>
      <c r="AT7">
        <v>2.4935476432191989E-2</v>
      </c>
      <c r="AY7">
        <v>0.11665418049624583</v>
      </c>
      <c r="AZ7">
        <v>0.11665418049624583</v>
      </c>
      <c r="BA7">
        <v>0.11665418049624583</v>
      </c>
      <c r="BB7">
        <v>0.11665418049624583</v>
      </c>
      <c r="BC7">
        <v>2.4935476432191989E-2</v>
      </c>
      <c r="BD7">
        <v>2.4935476432191989E-2</v>
      </c>
      <c r="BE7">
        <v>2.4935476432191989E-2</v>
      </c>
      <c r="BF7">
        <v>2.4935476432191989E-2</v>
      </c>
      <c r="BG7">
        <v>2.4935476432191989E-2</v>
      </c>
      <c r="BH7">
        <v>3.7403214648287983E-2</v>
      </c>
      <c r="BI7">
        <v>3.7403214648287983E-2</v>
      </c>
      <c r="BK7">
        <v>0.11665418049624583</v>
      </c>
      <c r="BL7">
        <v>2.4935476432191989E-2</v>
      </c>
      <c r="BM7">
        <v>0.05</v>
      </c>
      <c r="BN7">
        <v>4.3999999999999997E-2</v>
      </c>
      <c r="BY7">
        <v>5.1682797676725477E-2</v>
      </c>
      <c r="BZ7">
        <v>3.7861082253193297E-2</v>
      </c>
      <c r="CA7">
        <v>3.6372925860745531E-2</v>
      </c>
      <c r="CB7">
        <v>2.4371181954787172E-2</v>
      </c>
      <c r="CD7">
        <v>3.4580518716163848E-2</v>
      </c>
      <c r="CE7">
        <v>0.18382748015322814</v>
      </c>
      <c r="CF7">
        <v>6.0026785118253767E-2</v>
      </c>
      <c r="CG7">
        <v>3.820415381013878E-2</v>
      </c>
      <c r="CH7">
        <v>2.5598171219445683E-2</v>
      </c>
      <c r="CI7">
        <v>7.0000000000000007E-2</v>
      </c>
      <c r="CJ7">
        <v>5.6000000000000001E-2</v>
      </c>
      <c r="CK7">
        <v>3.2000000000000001E-2</v>
      </c>
    </row>
    <row r="8" spans="1:89" x14ac:dyDescent="0.3">
      <c r="A8">
        <v>7</v>
      </c>
      <c r="D8">
        <v>5.6489570961664196E-2</v>
      </c>
      <c r="E8">
        <v>3.4907694810767734E-2</v>
      </c>
      <c r="F8">
        <v>2.1222931267251222E-2</v>
      </c>
      <c r="G8">
        <v>7.0000000000000007E-2</v>
      </c>
      <c r="H8">
        <v>4.4999999999999998E-2</v>
      </c>
      <c r="I8">
        <v>0.03</v>
      </c>
      <c r="U8">
        <v>3.4580518716163848E-2</v>
      </c>
      <c r="V8">
        <v>3.4580518716163848E-2</v>
      </c>
      <c r="AE8">
        <v>2.4935476432191989E-2</v>
      </c>
      <c r="AF8">
        <v>2.4935476432191989E-2</v>
      </c>
      <c r="AG8">
        <v>2.4935476432191989E-2</v>
      </c>
      <c r="AH8">
        <v>2.4935476432191989E-2</v>
      </c>
      <c r="AQ8">
        <v>2.4935476432191989E-2</v>
      </c>
      <c r="AR8">
        <v>2.4935476432191989E-2</v>
      </c>
      <c r="AS8">
        <v>2.4935476432191989E-2</v>
      </c>
      <c r="AT8">
        <v>2.4935476432191989E-2</v>
      </c>
      <c r="BC8">
        <v>2.4935476432191989E-2</v>
      </c>
      <c r="BD8">
        <v>2.4935476432191989E-2</v>
      </c>
      <c r="BE8">
        <v>2.4935476432191989E-2</v>
      </c>
      <c r="BF8">
        <v>2.4935476432191989E-2</v>
      </c>
      <c r="BG8">
        <v>2.4935476432191989E-2</v>
      </c>
      <c r="BH8">
        <v>3.7403214648287983E-2</v>
      </c>
      <c r="BI8">
        <v>3.7403214648287983E-2</v>
      </c>
      <c r="BL8">
        <v>2.4935476432191989E-2</v>
      </c>
      <c r="BM8">
        <v>0.06</v>
      </c>
      <c r="BN8">
        <v>4.3999999999999997E-2</v>
      </c>
      <c r="BY8">
        <v>5.382159011076712E-2</v>
      </c>
      <c r="BZ8">
        <v>3.3259017723676905E-2</v>
      </c>
      <c r="CA8">
        <v>3.9268802895594923E-2</v>
      </c>
      <c r="CB8">
        <v>2.3149748541968579E-2</v>
      </c>
      <c r="CD8">
        <v>3.4580518716163848E-2</v>
      </c>
      <c r="CF8">
        <v>6.1692944597322961E-2</v>
      </c>
      <c r="CG8">
        <v>4.1245826401400794E-2</v>
      </c>
      <c r="CH8">
        <v>2.4315243633393966E-2</v>
      </c>
      <c r="CI8">
        <v>7.0000000000000007E-2</v>
      </c>
      <c r="CJ8">
        <v>5.6000000000000001E-2</v>
      </c>
      <c r="CK8">
        <v>3.2000000000000001E-2</v>
      </c>
    </row>
    <row r="9" spans="1:89" x14ac:dyDescent="0.3">
      <c r="A9">
        <v>8</v>
      </c>
      <c r="D9">
        <v>5.9411377136750931E-2</v>
      </c>
      <c r="E9">
        <v>3.5885355926997528E-2</v>
      </c>
      <c r="F9">
        <v>2.9632548216133221E-2</v>
      </c>
      <c r="G9">
        <v>0.08</v>
      </c>
      <c r="H9">
        <v>4.4999999999999998E-2</v>
      </c>
      <c r="I9">
        <v>0.03</v>
      </c>
      <c r="U9">
        <v>4.5811298004127976E-2</v>
      </c>
      <c r="V9">
        <v>4.5811298004127976E-2</v>
      </c>
      <c r="AE9">
        <v>3.3033817424378407E-2</v>
      </c>
      <c r="AF9">
        <v>3.3033817424378407E-2</v>
      </c>
      <c r="AG9">
        <v>3.3033817424378407E-2</v>
      </c>
      <c r="AH9">
        <v>3.3033817424378407E-2</v>
      </c>
      <c r="AQ9">
        <v>3.3033817424378407E-2</v>
      </c>
      <c r="AR9">
        <v>3.3033817424378407E-2</v>
      </c>
      <c r="AS9">
        <v>3.3033817424378407E-2</v>
      </c>
      <c r="AT9">
        <v>3.3033817424378407E-2</v>
      </c>
      <c r="BC9">
        <v>3.3033817424378407E-2</v>
      </c>
      <c r="BD9">
        <v>3.3033817424378407E-2</v>
      </c>
      <c r="BE9">
        <v>3.3033817424378407E-2</v>
      </c>
      <c r="BF9">
        <v>3.3033817424378407E-2</v>
      </c>
      <c r="BG9">
        <v>3.3033817424378407E-2</v>
      </c>
      <c r="BH9">
        <v>0.11596866471176306</v>
      </c>
      <c r="BI9">
        <v>0.11596866471176306</v>
      </c>
      <c r="BL9">
        <v>3.3033817424378407E-2</v>
      </c>
      <c r="BM9">
        <v>0.11</v>
      </c>
      <c r="BN9">
        <v>4.3999999999999997E-2</v>
      </c>
      <c r="BY9">
        <v>5.6605400496676159E-2</v>
      </c>
      <c r="BZ9">
        <v>3.419050427896804E-2</v>
      </c>
      <c r="CA9">
        <v>3.8258357906335839E-2</v>
      </c>
      <c r="CB9">
        <v>2.2225741123811319E-2</v>
      </c>
      <c r="CD9">
        <v>4.5811298004127976E-2</v>
      </c>
      <c r="CF9">
        <v>6.3714385423278827E-2</v>
      </c>
      <c r="CG9">
        <v>4.0184509642497999E-2</v>
      </c>
      <c r="CH9">
        <v>2.3344716223524895E-2</v>
      </c>
      <c r="CI9">
        <v>0.08</v>
      </c>
      <c r="CJ9">
        <v>5.6000000000000001E-2</v>
      </c>
      <c r="CK9">
        <v>3.2000000000000001E-2</v>
      </c>
    </row>
    <row r="10" spans="1:89" x14ac:dyDescent="0.3">
      <c r="A10">
        <v>9</v>
      </c>
      <c r="D10">
        <v>6.6709985460511462E-2</v>
      </c>
      <c r="E10">
        <v>4.0163946994567414E-2</v>
      </c>
      <c r="F10">
        <v>2.9565745534204081E-2</v>
      </c>
      <c r="G10">
        <v>0.15</v>
      </c>
      <c r="H10">
        <v>4.4999999999999998E-2</v>
      </c>
      <c r="I10">
        <v>0.03</v>
      </c>
      <c r="U10">
        <v>4.5811298004127976E-2</v>
      </c>
      <c r="V10">
        <v>4.5811298004127976E-2</v>
      </c>
      <c r="AE10">
        <v>3.3033817424378407E-2</v>
      </c>
      <c r="AF10">
        <v>3.3033817424378407E-2</v>
      </c>
      <c r="AG10">
        <v>3.3033817424378407E-2</v>
      </c>
      <c r="AH10">
        <v>3.3033817424378407E-2</v>
      </c>
      <c r="AQ10">
        <v>3.3033817424378407E-2</v>
      </c>
      <c r="AR10">
        <v>3.3033817424378407E-2</v>
      </c>
      <c r="AS10">
        <v>3.3033817424378407E-2</v>
      </c>
      <c r="AT10">
        <v>3.3033817424378407E-2</v>
      </c>
      <c r="BC10">
        <v>3.3033817424378407E-2</v>
      </c>
      <c r="BD10">
        <v>3.3033817424378407E-2</v>
      </c>
      <c r="BE10">
        <v>3.3033817424378407E-2</v>
      </c>
      <c r="BF10">
        <v>3.3033817424378407E-2</v>
      </c>
      <c r="BG10">
        <v>3.3033817424378407E-2</v>
      </c>
      <c r="BL10">
        <v>3.3033817424378407E-2</v>
      </c>
      <c r="BN10">
        <v>0.06</v>
      </c>
      <c r="BY10">
        <v>6.3559298338227405E-2</v>
      </c>
      <c r="BZ10">
        <v>3.8267019125338753E-2</v>
      </c>
      <c r="CA10">
        <v>3.7784305020186391E-2</v>
      </c>
      <c r="CB10">
        <v>2.7951725383157631E-2</v>
      </c>
      <c r="CD10">
        <v>4.5811298004127976E-2</v>
      </c>
      <c r="CF10">
        <v>6.8177468078621545E-2</v>
      </c>
      <c r="CG10">
        <v>3.9686590133742192E-2</v>
      </c>
      <c r="CH10">
        <v>2.935898035492893E-2</v>
      </c>
      <c r="CI10">
        <v>0.13</v>
      </c>
      <c r="CJ10">
        <v>5.7000000000000002E-2</v>
      </c>
      <c r="CK10">
        <v>3.2000000000000001E-2</v>
      </c>
    </row>
    <row r="11" spans="1:89" x14ac:dyDescent="0.3">
      <c r="A11">
        <v>10</v>
      </c>
      <c r="D11">
        <v>8.1659323727076558E-2</v>
      </c>
      <c r="E11">
        <v>3.6182784247796689E-2</v>
      </c>
      <c r="F11">
        <v>3.0828750865728068E-2</v>
      </c>
      <c r="G11">
        <v>0.23</v>
      </c>
      <c r="H11">
        <v>4.4999999999999998E-2</v>
      </c>
      <c r="I11">
        <v>0.03</v>
      </c>
      <c r="U11">
        <v>7.2811606484881899E-2</v>
      </c>
      <c r="V11">
        <v>7.2811606484881899E-2</v>
      </c>
      <c r="AE11">
        <v>5.2503321664898975E-2</v>
      </c>
      <c r="AF11">
        <v>5.2503321664898975E-2</v>
      </c>
      <c r="AG11">
        <v>5.2503321664898975E-2</v>
      </c>
      <c r="AH11">
        <v>5.2503321664898975E-2</v>
      </c>
      <c r="AQ11">
        <v>5.2503321664898975E-2</v>
      </c>
      <c r="AR11">
        <v>5.2503321664898975E-2</v>
      </c>
      <c r="AS11">
        <v>5.2503321664898975E-2</v>
      </c>
      <c r="AT11">
        <v>5.2503321664898975E-2</v>
      </c>
      <c r="BC11">
        <v>5.2503321664898975E-2</v>
      </c>
      <c r="BD11">
        <v>5.2503321664898975E-2</v>
      </c>
      <c r="BE11">
        <v>5.2503321664898975E-2</v>
      </c>
      <c r="BF11">
        <v>5.2503321664898975E-2</v>
      </c>
      <c r="BG11">
        <v>5.2503321664898975E-2</v>
      </c>
      <c r="BL11">
        <v>5.2503321664898975E-2</v>
      </c>
      <c r="BN11">
        <v>0.11</v>
      </c>
      <c r="BY11">
        <v>7.7802585070858105E-2</v>
      </c>
      <c r="BZ11">
        <v>3.447388517382826E-2</v>
      </c>
      <c r="CA11">
        <v>3.9470382881756867E-2</v>
      </c>
      <c r="CB11">
        <v>2.4816805824940485E-2</v>
      </c>
      <c r="CD11">
        <v>7.2811606484881899E-2</v>
      </c>
      <c r="CF11">
        <v>8.5589652155176568E-2</v>
      </c>
      <c r="CG11">
        <v>4.1457555114836182E-2</v>
      </c>
      <c r="CH11">
        <v>2.606623042760468E-2</v>
      </c>
      <c r="CI11">
        <v>0.16</v>
      </c>
      <c r="CJ11">
        <v>5.7000000000000002E-2</v>
      </c>
      <c r="CK11">
        <v>3.2000000000000001E-2</v>
      </c>
    </row>
    <row r="12" spans="1:89" x14ac:dyDescent="0.3">
      <c r="A12">
        <v>11</v>
      </c>
      <c r="D12">
        <v>0.14847544007004654</v>
      </c>
      <c r="E12">
        <v>4.1062910867257343E-2</v>
      </c>
      <c r="F12">
        <v>3.8167370639406568E-2</v>
      </c>
      <c r="H12">
        <v>0.05</v>
      </c>
      <c r="I12">
        <v>0.03</v>
      </c>
      <c r="U12">
        <v>0.10030311831774909</v>
      </c>
      <c r="V12">
        <v>0.10030311831774909</v>
      </c>
      <c r="AE12">
        <v>7.2327025034431128E-2</v>
      </c>
      <c r="AF12">
        <v>7.2327025034431128E-2</v>
      </c>
      <c r="AG12">
        <v>7.2327025034431128E-2</v>
      </c>
      <c r="AH12">
        <v>7.2327025034431128E-2</v>
      </c>
      <c r="AQ12">
        <v>7.2327025034431128E-2</v>
      </c>
      <c r="AR12">
        <v>7.2327025034431128E-2</v>
      </c>
      <c r="AS12">
        <v>7.2327025034431128E-2</v>
      </c>
      <c r="AT12">
        <v>7.2327025034431128E-2</v>
      </c>
      <c r="BC12">
        <v>7.2327025034431128E-2</v>
      </c>
      <c r="BD12">
        <v>7.2327025034431128E-2</v>
      </c>
      <c r="BE12">
        <v>7.2327025034431128E-2</v>
      </c>
      <c r="BF12">
        <v>7.2327025034431128E-2</v>
      </c>
      <c r="BG12">
        <v>7.2327025034431128E-2</v>
      </c>
      <c r="BL12">
        <v>7.2327025034431128E-2</v>
      </c>
      <c r="BY12">
        <v>0.14146300177051993</v>
      </c>
      <c r="BZ12">
        <v>3.9123525277830869E-2</v>
      </c>
      <c r="CA12">
        <v>4.0068103660230739E-2</v>
      </c>
      <c r="CB12">
        <v>2.3766885170742897E-2</v>
      </c>
      <c r="CD12">
        <v>0.10030311831774909</v>
      </c>
      <c r="CF12">
        <v>0.12657166897801994</v>
      </c>
      <c r="CG12">
        <v>4.2085368688145011E-2</v>
      </c>
      <c r="CH12">
        <v>2.4963450565600363E-2</v>
      </c>
      <c r="CJ12">
        <v>5.7000000000000002E-2</v>
      </c>
      <c r="CK12">
        <v>3.2000000000000001E-2</v>
      </c>
    </row>
    <row r="13" spans="1:89" x14ac:dyDescent="0.3">
      <c r="A13">
        <v>12</v>
      </c>
      <c r="D13">
        <v>0.22009500288419004</v>
      </c>
      <c r="E13">
        <v>4.379840670389578E-2</v>
      </c>
      <c r="F13">
        <v>3.0832403793269521E-2</v>
      </c>
      <c r="H13">
        <v>7.0000000000000007E-2</v>
      </c>
      <c r="I13">
        <v>0.03</v>
      </c>
      <c r="U13">
        <v>0.16082534422227301</v>
      </c>
      <c r="V13">
        <v>0.16082534422227301</v>
      </c>
      <c r="AE13">
        <v>0.11596866471176306</v>
      </c>
      <c r="AF13">
        <v>0.11596866471176306</v>
      </c>
      <c r="AG13">
        <v>0.11596866471176306</v>
      </c>
      <c r="AH13">
        <v>0.11596866471176306</v>
      </c>
      <c r="AQ13">
        <v>0.11596866471176306</v>
      </c>
      <c r="AR13">
        <v>0.11596866471176306</v>
      </c>
      <c r="AS13">
        <v>0.11596866471176306</v>
      </c>
      <c r="AT13">
        <v>0.11596866471176306</v>
      </c>
      <c r="BC13">
        <v>0.11596866471176306</v>
      </c>
      <c r="BD13">
        <v>0.11596866471176306</v>
      </c>
      <c r="BE13">
        <v>0.11596866471176306</v>
      </c>
      <c r="BF13">
        <v>0.11596866471176306</v>
      </c>
      <c r="BG13">
        <v>0.11596866471176306</v>
      </c>
      <c r="BL13">
        <v>0.11596866471176306</v>
      </c>
      <c r="BY13">
        <v>0.2097</v>
      </c>
      <c r="BZ13">
        <v>4.1729824691384185E-2</v>
      </c>
      <c r="CA13">
        <v>3.9653622898726967E-2</v>
      </c>
      <c r="CB13">
        <v>2.7194926198881759E-2</v>
      </c>
      <c r="CD13">
        <v>0.16082534422227301</v>
      </c>
      <c r="CF13">
        <v>0.15501632079550534</v>
      </c>
      <c r="CG13">
        <v>4.1650020516693038E-2</v>
      </c>
      <c r="CH13">
        <v>2.8564079429164627E-2</v>
      </c>
      <c r="CJ13">
        <v>5.8000000000000003E-2</v>
      </c>
      <c r="CK13">
        <v>3.2000000000000001E-2</v>
      </c>
    </row>
    <row r="14" spans="1:89" x14ac:dyDescent="0.3">
      <c r="A14">
        <v>13</v>
      </c>
      <c r="E14">
        <v>4.4275012374572799E-2</v>
      </c>
      <c r="F14">
        <v>3.0895518718847242E-2</v>
      </c>
      <c r="H14">
        <v>0.13</v>
      </c>
      <c r="I14">
        <v>0.03</v>
      </c>
      <c r="BZ14">
        <v>4.2183920458354229E-2</v>
      </c>
      <c r="CA14">
        <v>4.1587882015210569E-2</v>
      </c>
      <c r="CB14">
        <v>2.7466482874844846E-2</v>
      </c>
      <c r="CG14">
        <v>4.3681661663124809E-2</v>
      </c>
      <c r="CH14">
        <v>2.8849307872330931E-2</v>
      </c>
      <c r="CJ14">
        <v>9.8000000000000004E-2</v>
      </c>
      <c r="CK14">
        <v>3.2000000000000001E-2</v>
      </c>
    </row>
    <row r="15" spans="1:89" x14ac:dyDescent="0.3">
      <c r="A15">
        <v>14</v>
      </c>
      <c r="E15">
        <v>4.3314271123342955E-2</v>
      </c>
      <c r="F15">
        <v>2.8723292961372972E-2</v>
      </c>
      <c r="H15">
        <v>0.2</v>
      </c>
      <c r="I15">
        <v>0.03</v>
      </c>
      <c r="BZ15">
        <v>4.1268554649304463E-2</v>
      </c>
      <c r="CA15">
        <v>4.3048770715806997E-2</v>
      </c>
      <c r="CB15">
        <v>2.7301685606822331E-2</v>
      </c>
      <c r="CG15">
        <v>4.5216100130647523E-2</v>
      </c>
      <c r="CH15">
        <v>2.8676213736348388E-2</v>
      </c>
      <c r="CJ15">
        <v>0.125</v>
      </c>
      <c r="CK15">
        <v>3.2000000000000001E-2</v>
      </c>
    </row>
    <row r="16" spans="1:89" x14ac:dyDescent="0.3">
      <c r="A16">
        <v>15</v>
      </c>
      <c r="E16">
        <v>4.8749252320648015E-2</v>
      </c>
      <c r="F16">
        <v>3.267629733463203E-2</v>
      </c>
      <c r="I16">
        <v>0.03</v>
      </c>
      <c r="BZ16">
        <v>4.6446843761459217E-2</v>
      </c>
      <c r="CA16">
        <v>4.9761672267261949E-2</v>
      </c>
      <c r="CB16">
        <v>2.981852379549502E-2</v>
      </c>
      <c r="CG16">
        <v>5.2266968800546924E-2</v>
      </c>
      <c r="CH16">
        <v>3.1319764426864974E-2</v>
      </c>
      <c r="CK16">
        <v>3.2000000000000001E-2</v>
      </c>
    </row>
    <row r="17" spans="1:89" x14ac:dyDescent="0.3">
      <c r="A17">
        <v>16</v>
      </c>
      <c r="E17">
        <v>6.3602331703357093E-2</v>
      </c>
      <c r="F17">
        <v>2.1093038244786633E-2</v>
      </c>
      <c r="I17">
        <v>0.03</v>
      </c>
      <c r="BZ17">
        <v>6.0598417880536277E-2</v>
      </c>
      <c r="CA17">
        <v>6.1216190651871935E-2</v>
      </c>
      <c r="CB17">
        <v>2.7664466992334817E-2</v>
      </c>
      <c r="CG17">
        <v>6.4298175304585162E-2</v>
      </c>
      <c r="CH17">
        <v>2.9057259679823942E-2</v>
      </c>
      <c r="CK17">
        <v>3.2000000000000001E-2</v>
      </c>
    </row>
    <row r="18" spans="1:89" x14ac:dyDescent="0.3">
      <c r="A18">
        <v>17</v>
      </c>
      <c r="E18">
        <v>0.11510571512637802</v>
      </c>
      <c r="F18">
        <v>2.7737116231006241E-2</v>
      </c>
      <c r="I18">
        <v>0.03</v>
      </c>
      <c r="BZ18">
        <v>0.10966931618480349</v>
      </c>
      <c r="CA18">
        <v>9.9021288494842874E-2</v>
      </c>
      <c r="CB18">
        <v>2.7989777771111741E-2</v>
      </c>
      <c r="CG18">
        <v>0.10400660509463791</v>
      </c>
      <c r="CH18">
        <v>2.9398948524875103E-2</v>
      </c>
      <c r="CK18">
        <v>3.2000000000000001E-2</v>
      </c>
    </row>
    <row r="19" spans="1:89" x14ac:dyDescent="0.3">
      <c r="A19">
        <v>18</v>
      </c>
      <c r="E19">
        <v>0.1943217284749463</v>
      </c>
      <c r="F19">
        <v>3.7097547399975318E-2</v>
      </c>
      <c r="I19">
        <v>0.04</v>
      </c>
      <c r="BZ19">
        <v>0.1851439874927</v>
      </c>
      <c r="CA19">
        <v>0.12380584176221808</v>
      </c>
      <c r="CB19">
        <v>2.9991663112368918E-2</v>
      </c>
      <c r="CG19">
        <v>0.13003895918040767</v>
      </c>
      <c r="CH19">
        <v>3.1501620599716097E-2</v>
      </c>
      <c r="CK19">
        <v>6.7000000000000004E-2</v>
      </c>
    </row>
    <row r="20" spans="1:89" x14ac:dyDescent="0.3">
      <c r="A20">
        <v>19</v>
      </c>
      <c r="F20">
        <v>3.5807390962314001E-2</v>
      </c>
      <c r="I20">
        <v>0.14000000000000001</v>
      </c>
      <c r="CB20">
        <v>3.6818572007078401E-2</v>
      </c>
      <c r="CH20">
        <v>3.8672236415991802E-2</v>
      </c>
      <c r="CK20">
        <v>9.8000000000000004E-2</v>
      </c>
    </row>
    <row r="21" spans="1:89" x14ac:dyDescent="0.3">
      <c r="A21">
        <v>20</v>
      </c>
      <c r="F21">
        <v>3.5803371307890977E-2</v>
      </c>
      <c r="I21">
        <v>0.19</v>
      </c>
      <c r="CB21">
        <v>4.4473649674206403E-2</v>
      </c>
      <c r="CH21">
        <v>4.6712715912834844E-2</v>
      </c>
      <c r="CK21">
        <v>0.125</v>
      </c>
    </row>
    <row r="22" spans="1:89" x14ac:dyDescent="0.3">
      <c r="A22">
        <v>21</v>
      </c>
      <c r="F22">
        <v>3.6391389180009115E-2</v>
      </c>
      <c r="CB22">
        <v>4.5817756456585326E-2</v>
      </c>
      <c r="CH22">
        <v>4.8124492970524714E-2</v>
      </c>
    </row>
    <row r="23" spans="1:89" x14ac:dyDescent="0.3">
      <c r="A23">
        <v>22</v>
      </c>
      <c r="F23">
        <v>6.3853619028203412E-2</v>
      </c>
      <c r="CB23">
        <v>6.6279673572925829E-2</v>
      </c>
      <c r="CH23">
        <v>6.961658386680987E-2</v>
      </c>
    </row>
    <row r="24" spans="1:89" x14ac:dyDescent="0.3">
      <c r="A24">
        <v>23</v>
      </c>
      <c r="F24">
        <v>8.6512392572155691E-2</v>
      </c>
      <c r="CB24">
        <v>9.7478301016461669E-2</v>
      </c>
      <c r="CH24">
        <v>0.10238593451188414</v>
      </c>
    </row>
    <row r="25" spans="1:89" x14ac:dyDescent="0.3">
      <c r="A25">
        <v>24</v>
      </c>
      <c r="F25">
        <v>9.6978725615422534E-2</v>
      </c>
      <c r="CB25">
        <v>0.1246294114880088</v>
      </c>
      <c r="CH25">
        <v>0.13090399227117255</v>
      </c>
    </row>
    <row r="26" spans="1:89" x14ac:dyDescent="0.3">
      <c r="B26" t="str">
        <f>_xlfn.CONCAT(B2,";",B3,";",B4,IF(ISBLANK(B5),"",";"),B5,IF(ISBLANK(B6),"",";"),B6,IF(ISBLANK(B7),"",";"),B7,IF(ISBLANK(B8),"",";"),B8,IF(ISBLANK(B9),"",";"),B9,IF(ISBLANK(B10),"",";"),B10,IF(ISBLANK(B11),"",";"),B11,IF(ISBLANK(B12),"",";"),B12,IF(ISBLANK(B13),"",";"),B13,IF(ISBLANK(B14),"",";"),B14,IF(ISBLANK(B15),"",";"),B15,IF(ISBLANK(B16),"",";"),B16,IF(ISBLANK(B17),"",";"),B17,IF(ISBLANK(B18),"",";"),B18,IF(ISBLANK(B19),"",";"),B19,IF(ISBLANK(B20),"",";"),B20,IF(ISBLANK(B21),"",";"),B21,IF(ISBLANK(B22),"",";"),B22,IF(ISBLANK(B23),"",";"),B23,IF(ISBLANK(B24),"",";"),B24,IF(ISBLANK(B25),"",";"),B25)</f>
        <v>0.333663669422478;0.27123217065051;0.379604159927013</v>
      </c>
      <c r="C26" t="str">
        <f t="shared" ref="C26:BN26" si="0">_xlfn.CONCAT(C2,";",C3,";",C4,IF(ISBLANK(C5),"",";"),C5,IF(ISBLANK(C6),"",";"),C6,IF(ISBLANK(C7),"",";"),C7,IF(ISBLANK(C8),"",";"),C8,IF(ISBLANK(C9),"",";"),C9,IF(ISBLANK(C10),"",";"),C10,IF(ISBLANK(C11),"",";"),C11,IF(ISBLANK(C12),"",";"),C12,IF(ISBLANK(C13),"",";"),C13,IF(ISBLANK(C14),"",";"),C14,IF(ISBLANK(C15),"",";"),C15,IF(ISBLANK(C16),"",";"),C16,IF(ISBLANK(C17),"",";"),C17,IF(ISBLANK(C18),"",";"),C18,IF(ISBLANK(C19),"",";"),C19,IF(ISBLANK(C20),"",";"),C20,IF(ISBLANK(C21),"",";"),C21,IF(ISBLANK(C22),"",";"),C22,IF(ISBLANK(C23),"",";"),C23,IF(ISBLANK(C24),"",";"),C24,IF(ISBLANK(C25),"",";"),C25)</f>
        <v>0.128817089271534;0.10904922611393;0.106442864313677;0.120175472098005;0.197572195306553;0.279343152896301</v>
      </c>
      <c r="D26" t="str">
        <f t="shared" si="0"/>
        <v>0.0676333498793084;0.0533756521010278;0.0532500454780047;0.0542831166094344;0.0547723788788143;0.0542447568131707;0.0564895709616642;0.0594113771367509;0.0667099854605115;0.0816593237270766;0.148475440070047;0.22009500288419</v>
      </c>
      <c r="E26" t="str">
        <f t="shared" si="0"/>
        <v>0.0397033461852658;0.0363571588299138;0.0347097092841171;0.0354826917146094;0.0374397958165012;0.039737887495065;0.0349076948107677;0.0358853559269975;0.0401639469945674;0.0361827842477967;0.0410629108672573;0.0437984067038958;0.0442750123745728;0.043314271123343;0.048749252320648;0.0636023317033571;0.115105715126378;0.194321728474946</v>
      </c>
      <c r="F26" t="str">
        <f t="shared" si="0"/>
        <v>0.0302682303390938;0.0356001359822339;0.0264899498130113;0.0278713659278495;0.0237586612170386;0.0257922068481641;0.0212229312672512;0.0296325482161332;0.0295657455342041;0.0308287508657281;0.0381673706394066;0.0308324037932695;0.0308955187188472;0.028723292961373;0.032676297334632;0.0210930382447866;0.0277371162310062;0.0370975473999753;0.035807390962314;0.035803371307891;0.0363913891800091;0.0638536190282034;0.0865123925721557;0.0969787256154225</v>
      </c>
      <c r="G26" t="str">
        <f t="shared" si="0"/>
        <v>0.09;0.06;0.06;0.06;0.06;0.06;0.07;0.08;0.15;0.23</v>
      </c>
      <c r="H26" t="str">
        <f t="shared" si="0"/>
        <v>0.045;0.045;0.045;0.045;0.045;0.045;0.045;0.045;0.045;0.045;0.05;0.07;0.13;0.2</v>
      </c>
      <c r="I26" t="str">
        <f t="shared" si="0"/>
        <v>0.03;0.03;0.03;0.03;0.03;0.03;0.03;0.03;0.03;0.03;0.03;0.03;0.03;0.03;0.03;0.03;0.03;0.04;0.14;0.19</v>
      </c>
      <c r="J26" t="str">
        <f t="shared" si="0"/>
        <v>0.0502003382040176;0.051770624948636;0.0676290368473464</v>
      </c>
      <c r="K26" t="str">
        <f t="shared" si="0"/>
        <v>0.0521327441208531;0.0531148194525592;0.0643524364265877</v>
      </c>
      <c r="L26" t="str">
        <f t="shared" si="0"/>
        <v>0.0286711592742046;0.036181123470062;0.0463711445667025</v>
      </c>
      <c r="M26" t="str">
        <f t="shared" si="0"/>
        <v>0.0489849142849816;0.0428030164624041;0.0419287220074737;0.0555459909257746;0.0882837424238861;0.116654180496246</v>
      </c>
      <c r="N26" t="str">
        <f t="shared" si="0"/>
        <v>0.0452422243204993;0.0553329812802157;0.069024794399285</v>
      </c>
      <c r="O26" t="str">
        <f t="shared" si="0"/>
        <v>0.0336711592742046;0.041181123470062;0.0513711445667025</v>
      </c>
      <c r="P26" t="str">
        <f t="shared" si="0"/>
        <v>0.0672143634019197;0.0587319084905379;0.057532250471906;0.0762171063091849;0.121138020396207;0.160066350930244</v>
      </c>
      <c r="Q26" t="str">
        <f t="shared" si="0"/>
        <v>0.0474104859968403;0.0555634880756008;0.0666260259275589</v>
      </c>
      <c r="R26" t="str">
        <f t="shared" si="0"/>
        <v>0.0436711592742046;0.051181123470062;0.0613711445667025</v>
      </c>
      <c r="S26" t="str">
        <f t="shared" si="0"/>
        <v>0.0672143634019197;0.0587319084905379;0.057532250471906;0.0762171063091849;0.121138020396207;0.160066350930244</v>
      </c>
      <c r="T26" t="str">
        <f t="shared" si="0"/>
        <v>0.0672143634019197;0.0587319084905379;0.057532250471906;0.0762171063091849;0.121138020396207;0.160066350930244</v>
      </c>
      <c r="U26" t="str">
        <f t="shared" si="0"/>
        <v>0.0472729584791435;0.0404000805209267;0.0404000805209267;0.0353015890067577;0.0353015890067577;0.0345805187161638;0.0345805187161638;0.045811298004128;0.045811298004128;0.0728116064848819;0.100303118317749;0.160825344222273</v>
      </c>
      <c r="V26" t="str">
        <f t="shared" si="0"/>
        <v>0.0472729584791435;0.0404000805209267;0.0404000805209267;0.0353015890067577;0.0353015890067577;0.0345805187161638;0.0345805187161638;0.045811298004128;0.045811298004128;0.0728116064848819;0.100303118317749;0.160825344222273</v>
      </c>
      <c r="W26" t="str">
        <f t="shared" si="0"/>
        <v>0.0436711592742046;0.051181123470062;0.0613711445667025</v>
      </c>
      <c r="X26" t="str">
        <f t="shared" si="0"/>
        <v>0.0436711592742046;0.051181123470062;0.0613711445667025</v>
      </c>
      <c r="Y26" t="str">
        <f t="shared" si="0"/>
        <v>0.0436711592742046;0.051181123470062;0.0613711445667025</v>
      </c>
      <c r="Z26" t="str">
        <f t="shared" si="0"/>
        <v>0.0436711592742046;0.051181123470062;0.0613711445667025</v>
      </c>
      <c r="AA26" t="str">
        <f t="shared" si="0"/>
        <v>0.0489849142849816;0.0428030164624041;0.0419287220074737;0.0555459909257746;0.0882837424238861;0.116654180496246</v>
      </c>
      <c r="AB26" t="str">
        <f t="shared" si="0"/>
        <v>0.0489849142849816;0.0428030164624041;0.0419287220074737;0.0555459909257746;0.0882837424238861;0.116654180496246</v>
      </c>
      <c r="AC26" t="str">
        <f t="shared" si="0"/>
        <v>0.0489849142849816;0.0428030164624041;0.0419287220074737;0.0555459909257746;0.0882837424238861;0.116654180496246</v>
      </c>
      <c r="AD26" t="str">
        <f t="shared" si="0"/>
        <v>0.0489849142849816;0.0428030164624041;0.0419287220074737;0.0555459909257746;0.0882837424238861;0.116654180496246</v>
      </c>
      <c r="AE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F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G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H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I26" t="str">
        <f t="shared" si="0"/>
        <v>0.0436711592742046;0.051181123470062;0.0613711445667025</v>
      </c>
      <c r="AJ26" t="str">
        <f t="shared" si="0"/>
        <v>0.0436711592742046;0.051181123470062;0.0613711445667025</v>
      </c>
      <c r="AK26" t="str">
        <f t="shared" si="0"/>
        <v>0.0436711592742046;0.051181123470062;0.0613711445667025</v>
      </c>
      <c r="AL26" t="str">
        <f t="shared" si="0"/>
        <v>0.0436711592742046;0.051181123470062;0.0613711445667025</v>
      </c>
      <c r="AM26" t="str">
        <f t="shared" si="0"/>
        <v>0.0489849142849816;0.0428030164624041;0.0419287220074737;0.0555459909257746;0.0882837424238861;0.116654180496246</v>
      </c>
      <c r="AN26" t="str">
        <f t="shared" si="0"/>
        <v>0.0489849142849816;0.0428030164624041;0.0419287220074737;0.0555459909257746;0.0882837424238861;0.116654180496246</v>
      </c>
      <c r="AO26" t="str">
        <f t="shared" si="0"/>
        <v>0.0489849142849816;0.0428030164624041;0.0419287220074737;0.0555459909257746;0.0882837424238861;0.116654180496246</v>
      </c>
      <c r="AP26" t="str">
        <f t="shared" si="0"/>
        <v>0.0489849142849816;0.0428030164624041;0.0419287220074737;0.0555459909257746;0.0882837424238861;0.116654180496246</v>
      </c>
      <c r="AQ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R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S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T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AU26" t="str">
        <f t="shared" si="0"/>
        <v>0.0436711592742046;0.051181123470062;0.0613711445667025</v>
      </c>
      <c r="AV26" t="str">
        <f t="shared" si="0"/>
        <v>0.0436711592742046;0.051181123470062;0.0613711445667025</v>
      </c>
      <c r="AW26" t="str">
        <f t="shared" si="0"/>
        <v>0.0436711592742046;0.051181123470062;0.0613711445667025</v>
      </c>
      <c r="AX26" t="str">
        <f t="shared" si="0"/>
        <v>0.0436711592742046;0.051181123470062;0.0613711445667025</v>
      </c>
      <c r="AY26" t="str">
        <f t="shared" si="0"/>
        <v>0.0489849142849816;0.0428030164624041;0.0419287220074737;0.0555459909257746;0.0882837424238861;0.116654180496246</v>
      </c>
      <c r="AZ26" t="str">
        <f t="shared" si="0"/>
        <v>0.0489849142849816;0.0428030164624041;0.0419287220074737;0.0555459909257746;0.0882837424238861;0.116654180496246</v>
      </c>
      <c r="BA26" t="str">
        <f t="shared" si="0"/>
        <v>0.0489849142849816;0.0428030164624041;0.0419287220074737;0.0555459909257746;0.0882837424238861;0.116654180496246</v>
      </c>
      <c r="BB26" t="str">
        <f t="shared" si="0"/>
        <v>0.0489849142849816;0.0428030164624041;0.0419287220074737;0.0555459909257746;0.0882837424238861;0.116654180496246</v>
      </c>
      <c r="BC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D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E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F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G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H26" t="str">
        <f t="shared" si="0"/>
        <v>0.051131697230109;0.0436978084665345;0.0436978084665345;0.0381831435752355;0.0381831435752355;0.037403214648288;0.037403214648288;0.115968664711763</v>
      </c>
      <c r="BI26" t="str">
        <f t="shared" si="0"/>
        <v>0.051131697230109;0.0436978084665345;0.0436978084665345;0.0381831435752355;0.0381831435752355;0.037403214648288;0.037403214648288;0.115968664711763</v>
      </c>
      <c r="BJ26" t="str">
        <f t="shared" si="0"/>
        <v>0.0436711592742046;0.051181123470062;0.0613711445667025</v>
      </c>
      <c r="BK26" t="str">
        <f t="shared" si="0"/>
        <v>0.0489849142849816;0.0428030164624041;0.0419287220074737;0.0555459909257746;0.0882837424238861;0.116654180496246</v>
      </c>
      <c r="BL26" t="str">
        <f t="shared" si="0"/>
        <v>0.034087798153406;0.029131872311023;0.029131872311023;0.025455429050157;0.025455429050157;0.024935476432192;0.024935476432192;0.0330338174243784;0.0330338174243784;0.052503321664899;0.0723270250344311;0.115968664711763</v>
      </c>
      <c r="BM26" t="str">
        <f t="shared" si="0"/>
        <v>0.04;0.04;0.039;0.044;0.05;0.05;0.06;0.11</v>
      </c>
      <c r="BN26" t="str">
        <f t="shared" si="0"/>
        <v>0.036;0.036;0.035;0.04;0.04;0.044;0.044;0.044;0.06;0.11</v>
      </c>
      <c r="BO26" t="str">
        <f t="shared" ref="BO26:CK26" si="1">_xlfn.CONCAT(BO2,";",BO3,";",BO4,IF(ISBLANK(BO5),"",";"),BO5,IF(ISBLANK(BO6),"",";"),BO6,IF(ISBLANK(BO7),"",";"),BO7,IF(ISBLANK(BO8),"",";"),BO8,IF(ISBLANK(BO9),"",";"),BO9,IF(ISBLANK(BO10),"",";"),BO10,IF(ISBLANK(BO11),"",";"),BO11,IF(ISBLANK(BO12),"",";"),BO12,IF(ISBLANK(BO13),"",";"),BO13,IF(ISBLANK(BO14),"",";"),BO14,IF(ISBLANK(BO15),"",";"),BO15,IF(ISBLANK(BO16),"",";"),BO16,IF(ISBLANK(BO17),"",";"),BO17,IF(ISBLANK(BO18),"",";"),BO18,IF(ISBLANK(BO19),"",";"),BO19,IF(ISBLANK(BO20),"",";"),BO20,IF(ISBLANK(BO21),"",";"),BO21,IF(ISBLANK(BO22),"",";"),BO22,IF(ISBLANK(BO23),"",";"),BO23,IF(ISBLANK(BO24),"",";"),BO24,IF(ISBLANK(BO25),"",";"),BO25)</f>
        <v>0.0436711592742046;0.051181123470062;0.0613711445667025</v>
      </c>
      <c r="BP26" t="str">
        <f t="shared" si="1"/>
        <v>0.0436711592742046;0.051181123470062;0.0613711445667025</v>
      </c>
      <c r="BQ26" t="str">
        <f t="shared" si="1"/>
        <v>0.0436711592742046;0.051181123470062;0.0613711445667025</v>
      </c>
      <c r="BR26" t="str">
        <f t="shared" si="1"/>
        <v>0.0436711592742046;0.051181123470062;0.0613711445667025</v>
      </c>
      <c r="BS26" t="str">
        <f t="shared" si="1"/>
        <v>0.0436711592742046;0.051181123470062;0.0613711445667025</v>
      </c>
      <c r="BT26" t="str">
        <f t="shared" si="1"/>
        <v>0.0436711592742046;0.051181123470062;0.0613711445667025</v>
      </c>
      <c r="BU26" t="str">
        <f t="shared" si="1"/>
        <v>0.0436711592742046;0.051181123470062;0.0613711445667025</v>
      </c>
      <c r="BV26" t="str">
        <f t="shared" si="1"/>
        <v>0.0436711592742046;0.051181123470062;0.0613711445667025</v>
      </c>
      <c r="BW26" t="str">
        <f t="shared" si="1"/>
        <v>0.0436711592742046;0.051181123470062;0.0613711445667025</v>
      </c>
      <c r="BX26" t="str">
        <f t="shared" si="1"/>
        <v>0.0436711592742046;0.051181123470062;0.0613711445667025</v>
      </c>
      <c r="BY26" t="str">
        <f t="shared" si="1"/>
        <v>0.0644390526083577;0.0508547404480374;0.0507350661778232;0.0517193457544696;0.052185500353822;0.0516827976767255;0.0538215901107671;0.0566054004966762;0.0635592983382274;0.0778025850708581;0.14146300177052;0.2097</v>
      </c>
      <c r="BZ26" t="str">
        <f t="shared" si="1"/>
        <v>0.0378281723162571;0.0346400241110634;0.0330703829777964;0.0338068577434662;0.0356715285664683;0.0378610822531933;0.0332590177236769;0.034190504278968;0.0382670191253388;0.0344738851738283;0.0391235252778309;0.0417298246913842;0.0421839204583542;0.0412685546493045;0.0464468437614592;0.0605984178805363;0.109669316184803;0.1851439874927</v>
      </c>
      <c r="CA26" t="str">
        <f t="shared" si="1"/>
        <v>0.0614985940493251;0.043545474270277;0.0397747864583777;0.0381926668451503;0.0368946101938309;0.0363729258607455;0.0392688028955949;0.0382583579063358;0.0377843050201864;0.0394703828817569;0.0400681036602307;0.039653622898727;0.0415878820152106;0.043048770715807;0.0497616722672619;0.0612161906518719;0.0990212884948429;0.123805841762218</v>
      </c>
      <c r="CB26" t="str">
        <f t="shared" si="1"/>
        <v>0.0414518017136577;0.0280262642965602;0.0238791964139566;0.0243418180922935;0.0239400274570418;0.0243711819547872;0.0231497485419686;0.0222257411238113;0.0279517253831576;0.0248168058249405;0.0237668851707429;0.0271949261988818;0.0274664828748448;0.0273016856068223;0.029818523795495;0.0276644669923348;0.0279897777711117;0.0299916631123689;0.0368185720070784;0.0444736496742064;0.0458177564565853;0.0662796735729258;0.0974783010164617;0.124629411488009</v>
      </c>
      <c r="CC26" t="str">
        <f t="shared" si="1"/>
        <v>0.0436711592742046;0.051181123470062;0.0613711445667025</v>
      </c>
      <c r="CD26" t="str">
        <f t="shared" si="1"/>
        <v>0.0472729584791435;0.0404000805209267;0.0404000805209267;0.0353015890067577;0.0353015890067577;0.0345805187161638;0.0345805187161638;0.045811298004128;0.045811298004128;0.0728116064848819;0.100303118317749;0.160825344222273</v>
      </c>
      <c r="CE26" t="str">
        <f t="shared" si="1"/>
        <v>0.189554198180883;0.126764581314901;0.109352515397748;0.120533607772253;0.140014616281967;0.183827480153228</v>
      </c>
      <c r="CF26" t="str">
        <f t="shared" si="1"/>
        <v>0.0974264401913031;0.0673511813511603;0.0631702673367264;0.0606468891667864;0.061915996807845;0.0600267851182538;0.061692944597323;0.0637143854232788;0.0681774680786215;0.0855896521551766;0.12657166897802;0.155016320795505</v>
      </c>
      <c r="CG26" t="str">
        <f t="shared" si="1"/>
        <v>0.064594796557275;0.0457378106761688;0.0417772841656721;0.0401155113052432;0.038752102814237;0.0382041538101388;0.0412458264014008;0.040184509642498;0.0396865901337422;0.0414575551148362;0.042085368688145;0.041650020516693;0.0436816616631248;0.0452161001306475;0.0522669688005469;0.0642981753045852;0.104006605094638;0.130038959180408</v>
      </c>
      <c r="CH26" t="str">
        <f t="shared" si="1"/>
        <v>0.0435387302753404;0.0294372719975473;0.0250814162202406;0.0255673290066564;0.0251453098573749;0.0255981712194457;0.024315243633394;0.0233447162235249;0.0293589803549289;0.0260662304276047;0.0249634505656004;0.0285640794291646;0.0288493078723309;0.0286762137363484;0.031319764426865;0.0290572596798239;0.0293989485248751;0.0315016205997161;0.0386722364159918;0.0467127159128348;0.0481244929705247;0.0696165838668099;0.102385934511884;0.130903992271173</v>
      </c>
      <c r="CI26" t="str">
        <f t="shared" si="1"/>
        <v>0.11;0.07;0.07;0.07;0.07;0.07;0.07;0.08;0.13;0.16</v>
      </c>
      <c r="CJ26" t="str">
        <f t="shared" si="1"/>
        <v>0.057;0.056;0.056;0.056;0.056;0.056;0.056;0.056;0.057;0.057;0.057;0.058;0.098;0.125</v>
      </c>
      <c r="CK26" t="str">
        <f t="shared" si="1"/>
        <v>0.055;0.054;0.048;0.042;0.032;0.032;0.032;0.032;0.032;0.032;0.032;0.032;0.032;0.032;0.032;0.032;0.032;0.067;0.098;0.125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3EAA-7919-4C5C-8B6A-9A74ECCFA117}">
  <dimension ref="A1:S56"/>
  <sheetViews>
    <sheetView workbookViewId="0">
      <selection activeCell="I53" sqref="I53"/>
    </sheetView>
  </sheetViews>
  <sheetFormatPr defaultRowHeight="14.4" x14ac:dyDescent="0.3"/>
  <cols>
    <col min="2" max="2" width="20.109375" bestFit="1" customWidth="1"/>
  </cols>
  <sheetData>
    <row r="1" spans="1:19" x14ac:dyDescent="0.3">
      <c r="A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</row>
    <row r="2" spans="1:19" x14ac:dyDescent="0.3">
      <c r="A2" t="s">
        <v>88</v>
      </c>
      <c r="B2" t="str">
        <f>VLOOKUP(A2,'SFC-Models-SFY'!$A$2:$B$56,2,FALSE)</f>
        <v>Unsec Std - 899 / 63</v>
      </c>
      <c r="C2">
        <v>63</v>
      </c>
      <c r="D2">
        <v>9084.7488118811889</v>
      </c>
      <c r="E2">
        <v>8.9899999999999994E-2</v>
      </c>
      <c r="F2">
        <v>4.1047642242396116E-3</v>
      </c>
      <c r="G2">
        <v>0.23</v>
      </c>
      <c r="H2">
        <v>0</v>
      </c>
      <c r="I2">
        <v>2.0000000000000002E-5</v>
      </c>
      <c r="J2">
        <v>0.15</v>
      </c>
      <c r="K2">
        <v>3</v>
      </c>
      <c r="L2">
        <v>0.15622342731096903</v>
      </c>
      <c r="M2">
        <v>1.0050000000000001</v>
      </c>
      <c r="N2">
        <v>2.0000000000000018E-2</v>
      </c>
      <c r="O2">
        <v>0.9850000000000001</v>
      </c>
      <c r="P2">
        <v>1.4999999999999902E-2</v>
      </c>
      <c r="Q2">
        <v>4.1047642242396116E-3</v>
      </c>
      <c r="R2">
        <v>6.9972552193572568E-2</v>
      </c>
      <c r="S2" t="str">
        <f>HLOOKUP(A2,'PRIME-CPR'!$B$1:$CK$26,26,FALSE)</f>
        <v>0.0436711592742046;0.051181123470062;0.0613711445667025</v>
      </c>
    </row>
    <row r="3" spans="1:19" x14ac:dyDescent="0.3">
      <c r="A3" t="s">
        <v>89</v>
      </c>
      <c r="B3" t="str">
        <f>VLOOKUP(A3,'SFC-Models-SFY'!$A$2:$B$56,2,FALSE)</f>
        <v>Unsec Std - 1099 / 63</v>
      </c>
      <c r="C3">
        <v>63</v>
      </c>
      <c r="D3">
        <v>9084.7488118811889</v>
      </c>
      <c r="E3">
        <v>0.10989999999999998</v>
      </c>
      <c r="F3">
        <v>1.093248E-2</v>
      </c>
      <c r="G3">
        <v>0.23</v>
      </c>
      <c r="H3">
        <v>0</v>
      </c>
      <c r="I3">
        <v>2.0000000000000002E-5</v>
      </c>
      <c r="J3">
        <v>0.15</v>
      </c>
      <c r="K3">
        <v>3</v>
      </c>
      <c r="L3">
        <v>0.15622342731096903</v>
      </c>
      <c r="M3">
        <v>1.0050000000000001</v>
      </c>
      <c r="N3">
        <v>2.0000000000000018E-2</v>
      </c>
      <c r="O3">
        <v>0.9850000000000001</v>
      </c>
      <c r="P3">
        <v>1.4999999999999902E-2</v>
      </c>
      <c r="Q3">
        <v>1.093248E-2</v>
      </c>
      <c r="R3">
        <v>8.069701081547187E-2</v>
      </c>
      <c r="S3" t="str">
        <f>HLOOKUP(A3,'PRIME-CPR'!$B$1:$CK$26,26,FALSE)</f>
        <v>0.0436711592742046;0.051181123470062;0.0613711445667025</v>
      </c>
    </row>
    <row r="4" spans="1:19" x14ac:dyDescent="0.3">
      <c r="A4" t="s">
        <v>90</v>
      </c>
      <c r="B4" t="str">
        <f>VLOOKUP(A4,'SFC-Models-SFY'!$A$2:$B$56,2,FALSE)</f>
        <v>Unsec Std - 1199 / 63</v>
      </c>
      <c r="C4">
        <v>63</v>
      </c>
      <c r="D4">
        <v>9084.7488118811889</v>
      </c>
      <c r="E4">
        <v>0.11989999999999999</v>
      </c>
      <c r="F4">
        <v>9.4348799999999997E-3</v>
      </c>
      <c r="G4">
        <v>0.23</v>
      </c>
      <c r="H4">
        <v>0</v>
      </c>
      <c r="I4">
        <v>2.0000000000000002E-5</v>
      </c>
      <c r="J4">
        <v>0.15</v>
      </c>
      <c r="K4">
        <v>3</v>
      </c>
      <c r="L4">
        <v>0.15622342731096903</v>
      </c>
      <c r="M4">
        <v>1.0050000000000001</v>
      </c>
      <c r="N4">
        <v>2.0000000000000018E-2</v>
      </c>
      <c r="O4">
        <v>0.9850000000000001</v>
      </c>
      <c r="P4">
        <v>1.4999999999999902E-2</v>
      </c>
      <c r="Q4">
        <v>9.4348799999999997E-3</v>
      </c>
      <c r="R4">
        <v>9.0397598183409755E-2</v>
      </c>
      <c r="S4" t="str">
        <f>HLOOKUP(A4,'PRIME-CPR'!$B$1:$CK$26,26,FALSE)</f>
        <v>0.0436711592742046;0.051181123470062;0.0613711445667025</v>
      </c>
    </row>
    <row r="5" spans="1:19" x14ac:dyDescent="0.3">
      <c r="A5" t="s">
        <v>91</v>
      </c>
      <c r="B5" t="str">
        <f>VLOOKUP(A5,'SFC-Models-SFY'!$A$2:$B$56,2,FALSE)</f>
        <v>Unsec Std - 1399 / 63</v>
      </c>
      <c r="C5">
        <v>63</v>
      </c>
      <c r="D5">
        <v>9084.7488118811889</v>
      </c>
      <c r="E5">
        <v>0.1399</v>
      </c>
      <c r="F5">
        <v>1.9192429668107882E-2</v>
      </c>
      <c r="G5">
        <v>0.23</v>
      </c>
      <c r="H5">
        <v>0</v>
      </c>
      <c r="I5">
        <v>2.0000000000000002E-5</v>
      </c>
      <c r="J5">
        <v>0.15</v>
      </c>
      <c r="K5">
        <v>3</v>
      </c>
      <c r="L5">
        <v>0.15622342731096903</v>
      </c>
      <c r="M5">
        <v>1.0050000000000001</v>
      </c>
      <c r="N5">
        <v>2.0000000000000018E-2</v>
      </c>
      <c r="O5">
        <v>0.9850000000000001</v>
      </c>
      <c r="P5">
        <v>1.4999999999999902E-2</v>
      </c>
      <c r="Q5">
        <v>1.9192429668107882E-2</v>
      </c>
      <c r="R5">
        <v>9.8250420084426082E-2</v>
      </c>
      <c r="S5" t="str">
        <f>HLOOKUP(A5,'PRIME-CPR'!$B$1:$CK$26,26,FALSE)</f>
        <v>0.0436711592742046;0.051181123470062;0.0613711445667025</v>
      </c>
    </row>
    <row r="6" spans="1:19" x14ac:dyDescent="0.3">
      <c r="A6" t="s">
        <v>92</v>
      </c>
      <c r="B6" t="str">
        <f>VLOOKUP(A6,'SFC-Models-SFY'!$A$2:$B$56,2,FALSE)</f>
        <v>Unsec Std - 699 / 186</v>
      </c>
      <c r="C6">
        <v>186</v>
      </c>
      <c r="D6">
        <v>9084.7488118811889</v>
      </c>
      <c r="E6">
        <v>6.9900000000000004E-2</v>
      </c>
      <c r="F6">
        <v>4.3680000000000004E-3</v>
      </c>
      <c r="G6">
        <v>0.23</v>
      </c>
      <c r="H6">
        <v>0</v>
      </c>
      <c r="I6">
        <v>2.0000000000000002E-5</v>
      </c>
      <c r="J6">
        <v>0.15</v>
      </c>
      <c r="K6">
        <v>6</v>
      </c>
      <c r="L6">
        <v>0.39420056660076597</v>
      </c>
      <c r="M6">
        <v>0.99250000000000027</v>
      </c>
      <c r="N6">
        <v>2.0000000000000018E-2</v>
      </c>
      <c r="O6">
        <v>0.97250000000000025</v>
      </c>
      <c r="P6">
        <v>2.7499999999999747E-2</v>
      </c>
      <c r="Q6">
        <v>4.3680000000000004E-3</v>
      </c>
      <c r="R6">
        <v>5.4827875335359266E-2</v>
      </c>
      <c r="S6" t="str">
        <f>HLOOKUP(A6,'PRIME-CPR'!$B$1:$CK$26,26,FALSE)</f>
        <v>0.0489849142849816;0.0428030164624041;0.0419287220074737;0.0555459909257746;0.0882837424238861;0.116654180496246</v>
      </c>
    </row>
    <row r="7" spans="1:19" x14ac:dyDescent="0.3">
      <c r="A7" t="s">
        <v>93</v>
      </c>
      <c r="B7" t="str">
        <f>VLOOKUP(A7,'SFC-Models-SFY'!$A$2:$B$56,2,FALSE)</f>
        <v>Unsec Std - 1099 / 186</v>
      </c>
      <c r="C7">
        <v>186</v>
      </c>
      <c r="D7">
        <v>9084.7488118811889</v>
      </c>
      <c r="E7">
        <v>0.10989999999999998</v>
      </c>
      <c r="F7">
        <v>8.9450399999999996E-3</v>
      </c>
      <c r="G7">
        <v>0.23</v>
      </c>
      <c r="H7">
        <v>0</v>
      </c>
      <c r="I7">
        <v>2.0000000000000002E-5</v>
      </c>
      <c r="J7">
        <v>0.15</v>
      </c>
      <c r="K7">
        <v>6</v>
      </c>
      <c r="L7">
        <v>0.39420056660076597</v>
      </c>
      <c r="M7">
        <v>0.99250000000000027</v>
      </c>
      <c r="N7">
        <v>2.0000000000000018E-2</v>
      </c>
      <c r="O7">
        <v>0.97250000000000025</v>
      </c>
      <c r="P7">
        <v>2.7499999999999747E-2</v>
      </c>
      <c r="Q7">
        <v>8.9450399999999996E-3</v>
      </c>
      <c r="R7">
        <v>8.131155160000425E-2</v>
      </c>
      <c r="S7" t="str">
        <f>HLOOKUP(A7,'PRIME-CPR'!$B$1:$CK$26,26,FALSE)</f>
        <v>0.0489849142849816;0.0428030164624041;0.0419287220074737;0.0555459909257746;0.0882837424238861;0.116654180496246</v>
      </c>
    </row>
    <row r="8" spans="1:19" x14ac:dyDescent="0.3">
      <c r="A8" t="s">
        <v>94</v>
      </c>
      <c r="B8" t="str">
        <f>VLOOKUP(A8,'SFC-Models-SFY'!$A$2:$B$56,2,FALSE)</f>
        <v>Unsec Std - 1199 / 186</v>
      </c>
      <c r="C8">
        <v>186</v>
      </c>
      <c r="D8">
        <v>9084.7488118811889</v>
      </c>
      <c r="E8">
        <v>0.11989999999999999</v>
      </c>
      <c r="F8">
        <v>8.53632E-3</v>
      </c>
      <c r="G8">
        <v>0.23</v>
      </c>
      <c r="H8">
        <v>0</v>
      </c>
      <c r="I8">
        <v>2.0000000000000002E-5</v>
      </c>
      <c r="J8">
        <v>0.15</v>
      </c>
      <c r="K8">
        <v>6</v>
      </c>
      <c r="L8">
        <v>0.39420056660076597</v>
      </c>
      <c r="M8">
        <v>0.99250000000000027</v>
      </c>
      <c r="N8">
        <v>2.0000000000000018E-2</v>
      </c>
      <c r="O8">
        <v>0.97250000000000025</v>
      </c>
      <c r="P8">
        <v>2.7499999999999747E-2</v>
      </c>
      <c r="Q8">
        <v>8.53632E-3</v>
      </c>
      <c r="R8">
        <v>8.9186273650551762E-2</v>
      </c>
      <c r="S8" t="str">
        <f>HLOOKUP(A8,'PRIME-CPR'!$B$1:$CK$26,26,FALSE)</f>
        <v>0.0489849142849816;0.0428030164624041;0.0419287220074737;0.0555459909257746;0.0882837424238861;0.116654180496246</v>
      </c>
    </row>
    <row r="9" spans="1:19" x14ac:dyDescent="0.3">
      <c r="A9" t="s">
        <v>95</v>
      </c>
      <c r="B9" t="str">
        <f>VLOOKUP(A9,'SFC-Models-SFY'!$A$2:$B$56,2,FALSE)</f>
        <v>Unsec Std - 1399 / 186</v>
      </c>
      <c r="C9">
        <v>186</v>
      </c>
      <c r="D9">
        <v>9084.7488118811889</v>
      </c>
      <c r="E9">
        <v>0.1399</v>
      </c>
      <c r="F9">
        <v>1.5765359999999999E-2</v>
      </c>
      <c r="G9">
        <v>0.23</v>
      </c>
      <c r="H9">
        <v>0</v>
      </c>
      <c r="I9">
        <v>2.0000000000000002E-5</v>
      </c>
      <c r="J9">
        <v>0.15</v>
      </c>
      <c r="K9">
        <v>6</v>
      </c>
      <c r="L9">
        <v>0.39420056660076597</v>
      </c>
      <c r="M9">
        <v>0.99250000000000027</v>
      </c>
      <c r="N9">
        <v>2.0000000000000018E-2</v>
      </c>
      <c r="O9">
        <v>0.97250000000000025</v>
      </c>
      <c r="P9">
        <v>2.7499999999999747E-2</v>
      </c>
      <c r="Q9">
        <v>1.5765359999999999E-2</v>
      </c>
      <c r="R9">
        <v>9.7479194869714014E-2</v>
      </c>
      <c r="S9" t="str">
        <f>HLOOKUP(A9,'PRIME-CPR'!$B$1:$CK$26,26,FALSE)</f>
        <v>0.0489849142849816;0.0428030164624041;0.0419287220074737;0.0555459909257746;0.0882837424238861;0.116654180496246</v>
      </c>
    </row>
    <row r="10" spans="1:19" x14ac:dyDescent="0.3">
      <c r="A10" t="s">
        <v>96</v>
      </c>
      <c r="B10" t="str">
        <f>VLOOKUP(A10,'SFC-Models-SFY'!$A$2:$B$56,2,FALSE)</f>
        <v>Unsec Std - 899 / 132</v>
      </c>
      <c r="C10">
        <v>132</v>
      </c>
      <c r="D10">
        <v>9084.7488118811889</v>
      </c>
      <c r="E10">
        <v>8.9899999999999994E-2</v>
      </c>
      <c r="F10">
        <v>4.6178597522695637E-3</v>
      </c>
      <c r="G10">
        <v>0.23</v>
      </c>
      <c r="H10">
        <v>0</v>
      </c>
      <c r="I10">
        <v>2.0000000000000002E-5</v>
      </c>
      <c r="J10">
        <v>0.15</v>
      </c>
      <c r="K10">
        <v>12</v>
      </c>
      <c r="L10">
        <v>0.5</v>
      </c>
      <c r="M10">
        <v>0.9824999999999996</v>
      </c>
      <c r="N10">
        <v>2.0000000000000018E-2</v>
      </c>
      <c r="O10">
        <v>0.96249999999999958</v>
      </c>
      <c r="P10">
        <v>3.7500000000000422E-2</v>
      </c>
      <c r="Q10">
        <v>4.6178597522695637E-3</v>
      </c>
      <c r="R10">
        <v>5.7211782893196172E-2</v>
      </c>
      <c r="S10" t="str">
        <f>HLOOKUP(A10,'PRIME-CPR'!$B$1:$CK$26,26,FALSE)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1" spans="1:19" x14ac:dyDescent="0.3">
      <c r="A11" t="s">
        <v>97</v>
      </c>
      <c r="B11" t="str">
        <f>VLOOKUP(A11,'SFC-Models-SFY'!$A$2:$B$56,2,FALSE)</f>
        <v>Unsec Std - 1099 / 132</v>
      </c>
      <c r="C11">
        <v>132</v>
      </c>
      <c r="D11">
        <v>9084.7488118811889</v>
      </c>
      <c r="E11">
        <v>0.10989999999999998</v>
      </c>
      <c r="F11">
        <v>1.003392E-2</v>
      </c>
      <c r="G11">
        <v>0.23</v>
      </c>
      <c r="H11">
        <v>0</v>
      </c>
      <c r="I11">
        <v>2.0000000000000002E-5</v>
      </c>
      <c r="J11">
        <v>0.15</v>
      </c>
      <c r="K11">
        <v>12</v>
      </c>
      <c r="L11">
        <v>0.5</v>
      </c>
      <c r="M11">
        <v>0.9824999999999996</v>
      </c>
      <c r="N11">
        <v>2.0000000000000018E-2</v>
      </c>
      <c r="O11">
        <v>0.96249999999999958</v>
      </c>
      <c r="P11">
        <v>3.7500000000000422E-2</v>
      </c>
      <c r="Q11">
        <v>1.003392E-2</v>
      </c>
      <c r="R11">
        <v>6.365648055955031E-2</v>
      </c>
      <c r="S11" t="str">
        <f>HLOOKUP(A11,'PRIME-CPR'!$B$1:$CK$26,26,FALSE)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2" spans="1:19" x14ac:dyDescent="0.3">
      <c r="A12" t="s">
        <v>98</v>
      </c>
      <c r="B12" t="str">
        <f>VLOOKUP(A12,'SFC-Models-SFY'!$A$2:$B$56,2,FALSE)</f>
        <v>Unsec Std - 1199 / 132</v>
      </c>
      <c r="C12">
        <v>132</v>
      </c>
      <c r="D12">
        <v>9084.7488118811889</v>
      </c>
      <c r="E12">
        <v>0.11989999999999999</v>
      </c>
      <c r="F12">
        <v>9.2851199999999991E-3</v>
      </c>
      <c r="G12">
        <v>0.23</v>
      </c>
      <c r="H12">
        <v>0</v>
      </c>
      <c r="I12">
        <v>2.0000000000000002E-5</v>
      </c>
      <c r="J12">
        <v>0.15</v>
      </c>
      <c r="K12">
        <v>12</v>
      </c>
      <c r="L12">
        <v>0.5</v>
      </c>
      <c r="M12">
        <v>0.9824999999999996</v>
      </c>
      <c r="N12">
        <v>2.0000000000000018E-2</v>
      </c>
      <c r="O12">
        <v>0.96249999999999958</v>
      </c>
      <c r="P12">
        <v>3.7500000000000422E-2</v>
      </c>
      <c r="Q12">
        <v>9.2851199999999991E-3</v>
      </c>
      <c r="R12">
        <v>6.9913490619463836E-2</v>
      </c>
      <c r="S12" t="str">
        <f>HLOOKUP(A12,'PRIME-CPR'!$B$1:$CK$26,26,FALSE)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3" spans="1:19" x14ac:dyDescent="0.3">
      <c r="A13" t="s">
        <v>99</v>
      </c>
      <c r="B13" t="str">
        <f>VLOOKUP(A13,'SFC-Models-SFY'!$A$2:$B$56,2,FALSE)</f>
        <v>Unsec Std - 1399 / 132</v>
      </c>
      <c r="C13">
        <v>132</v>
      </c>
      <c r="D13">
        <v>9084.7488118811889</v>
      </c>
      <c r="E13">
        <v>0.1399</v>
      </c>
      <c r="F13">
        <v>1.8306625221887515E-2</v>
      </c>
      <c r="G13">
        <v>0.23</v>
      </c>
      <c r="H13">
        <v>0</v>
      </c>
      <c r="I13">
        <v>2.0000000000000002E-5</v>
      </c>
      <c r="J13">
        <v>0.15</v>
      </c>
      <c r="K13">
        <v>12</v>
      </c>
      <c r="L13">
        <v>0.5</v>
      </c>
      <c r="M13">
        <v>0.9824999999999996</v>
      </c>
      <c r="N13">
        <v>2.0000000000000018E-2</v>
      </c>
      <c r="O13">
        <v>0.96249999999999958</v>
      </c>
      <c r="P13">
        <v>3.7500000000000422E-2</v>
      </c>
      <c r="Q13">
        <v>1.8306625221887515E-2</v>
      </c>
      <c r="R13">
        <v>7.2701095664619686E-2</v>
      </c>
      <c r="S13" t="str">
        <f>HLOOKUP(A13,'PRIME-CPR'!$B$1:$CK$26,26,FALSE)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14" spans="1:19" x14ac:dyDescent="0.3">
      <c r="A14" t="s">
        <v>100</v>
      </c>
      <c r="B14" t="str">
        <f>VLOOKUP(A14,'SFC-Models-SFY'!$A$2:$B$56,2,FALSE)</f>
        <v>Unsec Std - 899 / 120</v>
      </c>
      <c r="C14">
        <v>120</v>
      </c>
      <c r="D14">
        <v>10000</v>
      </c>
      <c r="E14">
        <v>8.9899999999999994E-2</v>
      </c>
      <c r="G14">
        <v>0.12</v>
      </c>
      <c r="H14">
        <v>1.6500000000000001E-2</v>
      </c>
      <c r="I14">
        <v>2.0000000000000002E-5</v>
      </c>
      <c r="J14">
        <v>0.15</v>
      </c>
      <c r="M14">
        <v>0.98250000000000004</v>
      </c>
      <c r="N14">
        <v>2.0000000000000018E-2</v>
      </c>
      <c r="O14">
        <v>0.96250000000000002</v>
      </c>
      <c r="P14">
        <v>3.7499999999999978E-2</v>
      </c>
      <c r="Q14">
        <v>3.2000000000000001E-2</v>
      </c>
      <c r="R14">
        <v>5.0711555458799573E-2</v>
      </c>
      <c r="S14" t="e">
        <f>HLOOKUP(A14,'PRIME-CPR'!$B$1:$CK$26,26,FALSE)</f>
        <v>#N/A</v>
      </c>
    </row>
    <row r="15" spans="1:19" x14ac:dyDescent="0.3">
      <c r="A15" t="s">
        <v>101</v>
      </c>
      <c r="B15" t="str">
        <f>VLOOKUP(A15,'SFC-Models-SFY'!$A$2:$B$56,2,FALSE)</f>
        <v>Unsec Std - 899 / 180</v>
      </c>
      <c r="C15">
        <v>180</v>
      </c>
      <c r="D15">
        <v>10000</v>
      </c>
      <c r="E15">
        <v>8.9899999999999994E-2</v>
      </c>
      <c r="G15">
        <v>0.12</v>
      </c>
      <c r="H15">
        <v>1.6500000000000001E-2</v>
      </c>
      <c r="I15">
        <v>2.0000000000000002E-5</v>
      </c>
      <c r="J15">
        <v>0.15</v>
      </c>
      <c r="M15">
        <v>0.98250000000000004</v>
      </c>
      <c r="N15">
        <v>2.0000000000000018E-2</v>
      </c>
      <c r="O15">
        <v>0.96250000000000002</v>
      </c>
      <c r="P15">
        <v>3.7499999999999978E-2</v>
      </c>
      <c r="Q15">
        <v>3.2000000000000001E-2</v>
      </c>
      <c r="R15">
        <v>4.9700225943762888E-2</v>
      </c>
      <c r="S15" t="e">
        <f>HLOOKUP(A15,'PRIME-CPR'!$B$1:$CK$26,26,FALSE)</f>
        <v>#N/A</v>
      </c>
    </row>
    <row r="16" spans="1:19" x14ac:dyDescent="0.3">
      <c r="A16" t="s">
        <v>102</v>
      </c>
      <c r="B16" t="str">
        <f>VLOOKUP(A16,'SFC-Models-SFY'!$A$2:$B$56,2,FALSE)</f>
        <v>Unsec Std - 399 - 60</v>
      </c>
      <c r="C16">
        <v>60</v>
      </c>
      <c r="D16">
        <v>10000</v>
      </c>
      <c r="E16">
        <v>3.9899999999999998E-2</v>
      </c>
      <c r="G16">
        <v>0.1</v>
      </c>
      <c r="H16">
        <v>1.6500000000000001E-2</v>
      </c>
      <c r="I16">
        <v>2.0000000000000002E-5</v>
      </c>
      <c r="J16">
        <v>0.15</v>
      </c>
      <c r="M16">
        <v>0.93</v>
      </c>
      <c r="N16">
        <v>2.0000000000000018E-2</v>
      </c>
      <c r="O16">
        <v>0.91</v>
      </c>
      <c r="P16">
        <v>8.9999999999999969E-2</v>
      </c>
      <c r="Q16">
        <v>1.4E-2</v>
      </c>
      <c r="R16">
        <v>4.5769610264875915E-2</v>
      </c>
      <c r="S16" t="e">
        <f>HLOOKUP(A16,'PRIME-CPR'!$B$1:$CK$26,26,FALSE)</f>
        <v>#N/A</v>
      </c>
    </row>
    <row r="17" spans="1:19" x14ac:dyDescent="0.3">
      <c r="A17" t="s">
        <v>103</v>
      </c>
      <c r="B17" t="str">
        <f>VLOOKUP(A17,'SFC-Models-SFY'!$A$2:$B$56,2,FALSE)</f>
        <v>Unsec Std - 399 - 84</v>
      </c>
      <c r="C17">
        <v>84</v>
      </c>
      <c r="D17">
        <v>10000</v>
      </c>
      <c r="E17">
        <v>3.9899999999999998E-2</v>
      </c>
      <c r="G17">
        <v>0.1</v>
      </c>
      <c r="H17">
        <v>1.6500000000000001E-2</v>
      </c>
      <c r="I17">
        <v>2.0000000000000002E-5</v>
      </c>
      <c r="J17">
        <v>0.15</v>
      </c>
      <c r="M17">
        <v>0.92</v>
      </c>
      <c r="N17">
        <v>2.0000000000000018E-2</v>
      </c>
      <c r="O17">
        <v>0.9</v>
      </c>
      <c r="P17">
        <v>9.9999999999999978E-2</v>
      </c>
      <c r="Q17">
        <v>1.4E-2</v>
      </c>
      <c r="R17">
        <v>4.1813838200323694E-2</v>
      </c>
      <c r="S17" t="e">
        <f>HLOOKUP(A17,'PRIME-CPR'!$B$1:$CK$26,26,FALSE)</f>
        <v>#N/A</v>
      </c>
    </row>
    <row r="18" spans="1:19" x14ac:dyDescent="0.3">
      <c r="A18" t="s">
        <v>104</v>
      </c>
      <c r="B18" t="str">
        <f>VLOOKUP(A18,'SFC-Models-SFY'!$A$2:$B$56,2,FALSE)</f>
        <v>Unsec Std - 1440 - 120</v>
      </c>
      <c r="C18">
        <v>120</v>
      </c>
      <c r="D18">
        <v>10000</v>
      </c>
      <c r="E18">
        <v>0.14399999999999999</v>
      </c>
      <c r="G18">
        <v>0.16300000000000001</v>
      </c>
      <c r="H18">
        <v>1.6500000000000001E-2</v>
      </c>
      <c r="I18">
        <v>2.0000000000000002E-5</v>
      </c>
      <c r="J18">
        <v>0.15</v>
      </c>
      <c r="M18">
        <v>0.97</v>
      </c>
      <c r="N18">
        <v>2.0000000000000018E-2</v>
      </c>
      <c r="O18">
        <v>0.95</v>
      </c>
      <c r="P18">
        <v>5.0000000000000044E-2</v>
      </c>
      <c r="Q18">
        <v>9.64E-2</v>
      </c>
      <c r="R18">
        <v>5.1116230865519974E-2</v>
      </c>
      <c r="S18" t="e">
        <f>HLOOKUP(A18,'PRIME-CPR'!$B$1:$CK$26,26,FALSE)</f>
        <v>#N/A</v>
      </c>
    </row>
    <row r="19" spans="1:19" x14ac:dyDescent="0.3">
      <c r="A19" t="s">
        <v>105</v>
      </c>
      <c r="B19" t="str">
        <f>VLOOKUP(A19,'SFC-Models-SFY'!$A$2:$B$56,2,FALSE)</f>
        <v>6 Mth BD WPDI</v>
      </c>
      <c r="C19">
        <v>61</v>
      </c>
      <c r="D19">
        <v>5719</v>
      </c>
      <c r="E19">
        <v>0.2147</v>
      </c>
      <c r="F19">
        <v>9.64E-2</v>
      </c>
      <c r="G19">
        <v>0.23449999999999999</v>
      </c>
      <c r="H19">
        <v>1.6500000000000001E-2</v>
      </c>
      <c r="I19">
        <v>2.0000000000000002E-5</v>
      </c>
      <c r="J19">
        <v>0.15</v>
      </c>
      <c r="K19">
        <v>6</v>
      </c>
      <c r="L19">
        <v>0.29480000000000001</v>
      </c>
      <c r="M19">
        <v>0.92100000000000004</v>
      </c>
      <c r="N19">
        <v>2.0000000000000018E-2</v>
      </c>
      <c r="O19">
        <v>0.90100000000000002</v>
      </c>
      <c r="P19">
        <v>9.8999999999999977E-2</v>
      </c>
      <c r="Q19">
        <v>9.64E-2</v>
      </c>
      <c r="R19">
        <v>0.15485002138270421</v>
      </c>
      <c r="S19" t="e">
        <f>HLOOKUP(A19,'PRIME-CPR'!$B$1:$CK$26,26,FALSE)</f>
        <v>#N/A</v>
      </c>
    </row>
    <row r="20" spans="1:19" x14ac:dyDescent="0.3">
      <c r="A20" t="s">
        <v>106</v>
      </c>
      <c r="B20" t="str">
        <f>VLOOKUP(A20,'SFC-Models-SFY'!$A$2:$B$56,2,FALSE)</f>
        <v>6 Mth BD WPDI 12S</v>
      </c>
      <c r="C20">
        <v>63</v>
      </c>
      <c r="D20">
        <v>6630</v>
      </c>
      <c r="E20">
        <v>0.21870000000000001</v>
      </c>
      <c r="F20">
        <v>9.64E-2</v>
      </c>
      <c r="G20">
        <v>0.23899999999999999</v>
      </c>
      <c r="H20">
        <v>1.6500000000000001E-2</v>
      </c>
      <c r="I20">
        <v>2.0000000000000002E-5</v>
      </c>
      <c r="J20">
        <v>0.15</v>
      </c>
      <c r="K20">
        <v>12</v>
      </c>
      <c r="L20">
        <v>0.47299999999999998</v>
      </c>
      <c r="M20">
        <v>0.92100000000000004</v>
      </c>
      <c r="N20">
        <v>2.0000000000000018E-2</v>
      </c>
      <c r="O20">
        <v>0.90100000000000002</v>
      </c>
      <c r="P20">
        <v>9.8999999999999977E-2</v>
      </c>
      <c r="Q20">
        <v>9.64E-2</v>
      </c>
      <c r="R20">
        <v>0.12440400971652643</v>
      </c>
      <c r="S20" t="e">
        <f>HLOOKUP(A20,'PRIME-CPR'!$B$1:$CK$26,26,FALSE)</f>
        <v>#N/A</v>
      </c>
    </row>
    <row r="21" spans="1:19" x14ac:dyDescent="0.3">
      <c r="A21" t="s">
        <v>107</v>
      </c>
      <c r="B21" t="str">
        <f>VLOOKUP(A21,'SFC-Models-SFY'!$A$2:$B$56,2,FALSE)</f>
        <v>Unsec Std - 849 - 120</v>
      </c>
      <c r="C21">
        <v>120</v>
      </c>
      <c r="D21">
        <v>10000</v>
      </c>
      <c r="E21">
        <v>8.4900000000000003E-2</v>
      </c>
      <c r="G21">
        <v>0.12</v>
      </c>
      <c r="H21">
        <v>0</v>
      </c>
      <c r="I21">
        <v>2.0000000000000002E-5</v>
      </c>
      <c r="J21">
        <v>0.15</v>
      </c>
      <c r="M21">
        <v>0.98250000000000004</v>
      </c>
      <c r="N21">
        <v>2.0000000000000018E-2</v>
      </c>
      <c r="O21">
        <v>0.96250000000000002</v>
      </c>
      <c r="P21">
        <v>3.7499999999999978E-2</v>
      </c>
      <c r="Q21">
        <v>2.8000000000000001E-2</v>
      </c>
      <c r="R21">
        <v>6.5878879418300507E-2</v>
      </c>
      <c r="S21" t="e">
        <f>HLOOKUP(A21,'PRIME-CPR'!$B$1:$CK$26,26,FALSE)</f>
        <v>#N/A</v>
      </c>
    </row>
    <row r="22" spans="1:19" x14ac:dyDescent="0.3">
      <c r="A22" t="s">
        <v>108</v>
      </c>
      <c r="B22" t="str">
        <f>VLOOKUP(A22,'SFC-Models-SFY'!$A$2:$B$56,2,FALSE)</f>
        <v>Unsec Std - 849 - 180</v>
      </c>
      <c r="C22">
        <v>180</v>
      </c>
      <c r="D22">
        <v>10000</v>
      </c>
      <c r="E22">
        <v>8.4900000000000003E-2</v>
      </c>
      <c r="G22">
        <v>0.12</v>
      </c>
      <c r="H22">
        <v>0</v>
      </c>
      <c r="I22">
        <v>2.0000000000000002E-5</v>
      </c>
      <c r="J22">
        <v>0.15</v>
      </c>
      <c r="M22">
        <v>0.98250000000000004</v>
      </c>
      <c r="N22">
        <v>2.0000000000000018E-2</v>
      </c>
      <c r="O22">
        <v>0.96250000000000002</v>
      </c>
      <c r="P22">
        <v>3.7499999999999978E-2</v>
      </c>
      <c r="Q22">
        <v>2.8000000000000001E-2</v>
      </c>
      <c r="R22">
        <v>6.4873161582571726E-2</v>
      </c>
      <c r="S22" t="e">
        <f>HLOOKUP(A22,'PRIME-CPR'!$B$1:$CK$26,26,FALSE)</f>
        <v>#N/A</v>
      </c>
    </row>
    <row r="23" spans="1:19" x14ac:dyDescent="0.3">
      <c r="A23" t="s">
        <v>109</v>
      </c>
      <c r="B23" t="str">
        <f>VLOOKUP(A23,'SFC-Models-SFY'!$A$2:$B$56,2,FALSE)</f>
        <v>Unsec Std - 1390 - 120</v>
      </c>
      <c r="C23">
        <v>120</v>
      </c>
      <c r="D23">
        <v>10000</v>
      </c>
      <c r="E23">
        <v>0.13900000000000001</v>
      </c>
      <c r="G23">
        <v>0.16300000000000001</v>
      </c>
      <c r="H23">
        <v>0</v>
      </c>
      <c r="I23">
        <v>2.0000000000000002E-5</v>
      </c>
      <c r="J23">
        <v>0.15</v>
      </c>
      <c r="M23">
        <v>0.97</v>
      </c>
      <c r="N23">
        <v>2.0000000000000018E-2</v>
      </c>
      <c r="O23">
        <v>0.95</v>
      </c>
      <c r="P23">
        <v>5.0000000000000044E-2</v>
      </c>
      <c r="Q23">
        <v>9.64E-2</v>
      </c>
      <c r="R23">
        <v>6.2656791184658722E-2</v>
      </c>
      <c r="S23" t="e">
        <f>HLOOKUP(A23,'PRIME-CPR'!$B$1:$CK$26,26,FALSE)</f>
        <v>#N/A</v>
      </c>
    </row>
    <row r="24" spans="1:19" x14ac:dyDescent="0.3">
      <c r="A24" t="s">
        <v>110</v>
      </c>
      <c r="B24" t="str">
        <f>VLOOKUP(A24,'SFC-Models-SFY'!$A$2:$B$56,2,FALSE)</f>
        <v>Unsec Std - 849 - 63</v>
      </c>
      <c r="C24">
        <v>63</v>
      </c>
      <c r="D24">
        <v>9084.7488118811889</v>
      </c>
      <c r="E24">
        <v>8.4900000000000003E-2</v>
      </c>
      <c r="F24">
        <v>4.1047642242396116E-3</v>
      </c>
      <c r="G24">
        <v>0.23</v>
      </c>
      <c r="H24">
        <v>0</v>
      </c>
      <c r="I24">
        <v>2.0000000000000002E-5</v>
      </c>
      <c r="J24">
        <v>0.15</v>
      </c>
      <c r="K24">
        <v>3</v>
      </c>
      <c r="L24">
        <v>0.15622342731096903</v>
      </c>
      <c r="M24">
        <v>1.0050000000000001</v>
      </c>
      <c r="N24">
        <v>2.0000000000000018E-2</v>
      </c>
      <c r="O24">
        <v>0.9850000000000001</v>
      </c>
      <c r="P24">
        <v>1.4999999999999902E-2</v>
      </c>
      <c r="Q24">
        <v>4.1047642242396116E-3</v>
      </c>
      <c r="R24">
        <v>6.5758300007492387E-2</v>
      </c>
      <c r="S24" t="str">
        <f>HLOOKUP(A24,'PRIME-CPR'!$B$1:$CK$26,26,FALSE)</f>
        <v>0.0436711592742046;0.051181123470062;0.0613711445667025</v>
      </c>
    </row>
    <row r="25" spans="1:19" x14ac:dyDescent="0.3">
      <c r="A25" t="s">
        <v>111</v>
      </c>
      <c r="B25" t="str">
        <f>VLOOKUP(A25,'SFC-Models-SFY'!$A$2:$B$56,2,FALSE)</f>
        <v>Unsec Std - 1049 - 63</v>
      </c>
      <c r="C25">
        <v>63</v>
      </c>
      <c r="D25">
        <v>9084.7488118811889</v>
      </c>
      <c r="E25">
        <v>0.10489999999999999</v>
      </c>
      <c r="F25">
        <v>1.093248E-2</v>
      </c>
      <c r="G25">
        <v>0.23</v>
      </c>
      <c r="H25">
        <v>0</v>
      </c>
      <c r="I25">
        <v>2.0000000000000002E-5</v>
      </c>
      <c r="J25">
        <v>0.15</v>
      </c>
      <c r="K25">
        <v>3</v>
      </c>
      <c r="L25">
        <v>0.15622342731096903</v>
      </c>
      <c r="M25">
        <v>1.0050000000000001</v>
      </c>
      <c r="N25">
        <v>2.0000000000000018E-2</v>
      </c>
      <c r="O25">
        <v>0.9850000000000001</v>
      </c>
      <c r="P25">
        <v>1.4999999999999902E-2</v>
      </c>
      <c r="Q25">
        <v>1.093248E-2</v>
      </c>
      <c r="R25">
        <v>7.6511353908629509E-2</v>
      </c>
      <c r="S25" t="str">
        <f>HLOOKUP(A25,'PRIME-CPR'!$B$1:$CK$26,26,FALSE)</f>
        <v>0.0436711592742046;0.051181123470062;0.0613711445667025</v>
      </c>
    </row>
    <row r="26" spans="1:19" x14ac:dyDescent="0.3">
      <c r="A26" t="s">
        <v>112</v>
      </c>
      <c r="B26" t="str">
        <f>VLOOKUP(A26,'SFC-Models-SFY'!$A$2:$B$56,2,FALSE)</f>
        <v>Unsec Std - 1349 - 63</v>
      </c>
      <c r="C26">
        <v>63</v>
      </c>
      <c r="D26">
        <v>9084.7488118811889</v>
      </c>
      <c r="E26">
        <v>0.13489999999999999</v>
      </c>
      <c r="F26">
        <v>1.9192429668107882E-2</v>
      </c>
      <c r="G26">
        <v>0.23</v>
      </c>
      <c r="H26">
        <v>0</v>
      </c>
      <c r="I26">
        <v>2.0000000000000002E-5</v>
      </c>
      <c r="J26">
        <v>0.15</v>
      </c>
      <c r="K26">
        <v>3</v>
      </c>
      <c r="L26">
        <v>0.15622342731096903</v>
      </c>
      <c r="M26">
        <v>1.0050000000000001</v>
      </c>
      <c r="N26">
        <v>2.0000000000000018E-2</v>
      </c>
      <c r="O26">
        <v>0.9850000000000001</v>
      </c>
      <c r="P26">
        <v>1.4999999999999902E-2</v>
      </c>
      <c r="Q26">
        <v>1.9192429668107882E-2</v>
      </c>
      <c r="R26">
        <v>9.410417029597351E-2</v>
      </c>
      <c r="S26" t="str">
        <f>HLOOKUP(A26,'PRIME-CPR'!$B$1:$CK$26,26,FALSE)</f>
        <v>0.0436711592742046;0.051181123470062;0.0613711445667025</v>
      </c>
    </row>
    <row r="27" spans="1:19" x14ac:dyDescent="0.3">
      <c r="A27" t="s">
        <v>113</v>
      </c>
      <c r="B27" t="str">
        <f>VLOOKUP(A27,'SFC-Models-SFY'!$A$2:$B$56,2,FALSE)</f>
        <v>Unsec Std - 649 - 186</v>
      </c>
      <c r="C27">
        <v>186</v>
      </c>
      <c r="D27">
        <v>9084.7488118811889</v>
      </c>
      <c r="E27">
        <v>6.4899999999999999E-2</v>
      </c>
      <c r="F27">
        <v>4.3680000000000004E-3</v>
      </c>
      <c r="G27">
        <v>0.23</v>
      </c>
      <c r="H27">
        <v>0</v>
      </c>
      <c r="I27">
        <v>2.0000000000000002E-5</v>
      </c>
      <c r="J27">
        <v>0.15</v>
      </c>
      <c r="K27">
        <v>6</v>
      </c>
      <c r="L27">
        <v>0.39420056660076597</v>
      </c>
      <c r="M27">
        <v>0.99250000000000027</v>
      </c>
      <c r="N27">
        <v>2.0000000000000018E-2</v>
      </c>
      <c r="O27">
        <v>0.97250000000000025</v>
      </c>
      <c r="P27">
        <v>2.7499999999999747E-2</v>
      </c>
      <c r="Q27">
        <v>4.3680000000000004E-3</v>
      </c>
      <c r="R27">
        <v>5.0952089068871942E-2</v>
      </c>
      <c r="S27" t="str">
        <f>HLOOKUP(A27,'PRIME-CPR'!$B$1:$CK$26,26,FALSE)</f>
        <v>0.0489849142849816;0.0428030164624041;0.0419287220074737;0.0555459909257746;0.0882837424238861;0.116654180496246</v>
      </c>
    </row>
    <row r="28" spans="1:19" x14ac:dyDescent="0.3">
      <c r="A28" t="s">
        <v>114</v>
      </c>
      <c r="B28" t="str">
        <f>VLOOKUP(A28,'SFC-Models-SFY'!$A$2:$B$56,2,FALSE)</f>
        <v>Unsec Std - 1049 - 186</v>
      </c>
      <c r="C28">
        <v>186</v>
      </c>
      <c r="D28">
        <v>9084.7488118811889</v>
      </c>
      <c r="E28">
        <v>0.10489999999999999</v>
      </c>
      <c r="F28">
        <v>8.9450399999999996E-3</v>
      </c>
      <c r="G28">
        <v>0.23</v>
      </c>
      <c r="H28">
        <v>0</v>
      </c>
      <c r="I28">
        <v>2.0000000000000002E-5</v>
      </c>
      <c r="J28">
        <v>0.15</v>
      </c>
      <c r="K28">
        <v>6</v>
      </c>
      <c r="L28">
        <v>0.39420056660076597</v>
      </c>
      <c r="M28">
        <v>0.99250000000000027</v>
      </c>
      <c r="N28">
        <v>2.0000000000000018E-2</v>
      </c>
      <c r="O28">
        <v>0.97250000000000025</v>
      </c>
      <c r="P28">
        <v>2.7499999999999747E-2</v>
      </c>
      <c r="Q28">
        <v>8.9450399999999996E-3</v>
      </c>
      <c r="R28">
        <v>7.7539359940212549E-2</v>
      </c>
      <c r="S28" t="str">
        <f>HLOOKUP(A28,'PRIME-CPR'!$B$1:$CK$26,26,FALSE)</f>
        <v>0.0489849142849816;0.0428030164624041;0.0419287220074737;0.0555459909257746;0.0882837424238861;0.116654180496246</v>
      </c>
    </row>
    <row r="29" spans="1:19" x14ac:dyDescent="0.3">
      <c r="A29" t="s">
        <v>115</v>
      </c>
      <c r="B29" t="e">
        <f>VLOOKUP(A29,'SFC-Models-SFY'!$A$2:$B$56,2,FALSE)</f>
        <v>#N/A</v>
      </c>
      <c r="C29">
        <v>186</v>
      </c>
      <c r="D29">
        <v>9084.7488118811889</v>
      </c>
      <c r="E29">
        <v>0.1149</v>
      </c>
      <c r="F29">
        <v>8.53632E-3</v>
      </c>
      <c r="G29">
        <v>0.23</v>
      </c>
      <c r="H29">
        <v>0</v>
      </c>
      <c r="I29">
        <v>2.0000000000000002E-5</v>
      </c>
      <c r="J29">
        <v>0.15</v>
      </c>
      <c r="K29">
        <v>6</v>
      </c>
      <c r="L29">
        <v>0.39420056660076597</v>
      </c>
      <c r="M29">
        <v>0.99250000000000027</v>
      </c>
      <c r="N29">
        <v>2.0000000000000018E-2</v>
      </c>
      <c r="O29">
        <v>0.97250000000000025</v>
      </c>
      <c r="P29">
        <v>2.7499999999999747E-2</v>
      </c>
      <c r="Q29">
        <v>8.53632E-3</v>
      </c>
      <c r="R29">
        <v>8.5438510769136222E-2</v>
      </c>
      <c r="S29" t="str">
        <f>HLOOKUP(A29,'PRIME-CPR'!$B$1:$CK$26,26,FALSE)</f>
        <v>0.0489849142849816;0.0428030164624041;0.0419287220074737;0.0555459909257746;0.0882837424238861;0.116654180496246</v>
      </c>
    </row>
    <row r="30" spans="1:19" x14ac:dyDescent="0.3">
      <c r="A30" t="s">
        <v>116</v>
      </c>
      <c r="B30" t="str">
        <f>VLOOKUP(A30,'SFC-Models-SFY'!$A$2:$B$56,2,FALSE)</f>
        <v>Unsec Std - 1349 - 186</v>
      </c>
      <c r="C30">
        <v>186</v>
      </c>
      <c r="D30">
        <v>9084.7488118811889</v>
      </c>
      <c r="E30">
        <v>0.13489999999999999</v>
      </c>
      <c r="F30">
        <v>1.5765359999999999E-2</v>
      </c>
      <c r="G30">
        <v>0.23</v>
      </c>
      <c r="H30">
        <v>0</v>
      </c>
      <c r="I30">
        <v>2.0000000000000002E-5</v>
      </c>
      <c r="J30">
        <v>0.15</v>
      </c>
      <c r="K30">
        <v>6</v>
      </c>
      <c r="L30">
        <v>0.39420056660076597</v>
      </c>
      <c r="M30">
        <v>0.99250000000000027</v>
      </c>
      <c r="N30">
        <v>2.0000000000000018E-2</v>
      </c>
      <c r="O30">
        <v>0.97250000000000025</v>
      </c>
      <c r="P30">
        <v>2.7499999999999747E-2</v>
      </c>
      <c r="Q30">
        <v>1.5765359999999999E-2</v>
      </c>
      <c r="R30">
        <v>9.3795811414786989E-2</v>
      </c>
      <c r="S30" t="str">
        <f>HLOOKUP(A30,'PRIME-CPR'!$B$1:$CK$26,26,FALSE)</f>
        <v>0.0489849142849816;0.0428030164624041;0.0419287220074737;0.0555459909257746;0.0882837424238861;0.116654180496246</v>
      </c>
    </row>
    <row r="31" spans="1:19" x14ac:dyDescent="0.3">
      <c r="A31" t="s">
        <v>117</v>
      </c>
      <c r="B31" t="str">
        <f>VLOOKUP(A31,'SFC-Models-SFY'!$A$2:$B$56,2,FALSE)</f>
        <v>Unsec Std - 849 - 132</v>
      </c>
      <c r="C31">
        <v>132</v>
      </c>
      <c r="D31">
        <v>9084.7488118811889</v>
      </c>
      <c r="E31">
        <v>8.4900000000000003E-2</v>
      </c>
      <c r="F31">
        <v>4.6178597522695637E-3</v>
      </c>
      <c r="G31">
        <v>0.23</v>
      </c>
      <c r="H31">
        <v>0</v>
      </c>
      <c r="I31">
        <v>2.0000000000000002E-5</v>
      </c>
      <c r="J31">
        <v>0.15</v>
      </c>
      <c r="K31">
        <v>12</v>
      </c>
      <c r="L31">
        <v>0.5</v>
      </c>
      <c r="M31">
        <v>0.9824999999999996</v>
      </c>
      <c r="N31">
        <v>2.0000000000000018E-2</v>
      </c>
      <c r="O31">
        <v>0.96249999999999958</v>
      </c>
      <c r="P31">
        <v>3.7500000000000422E-2</v>
      </c>
      <c r="Q31">
        <v>4.6178597522695637E-3</v>
      </c>
      <c r="R31">
        <v>5.4357781213026257E-2</v>
      </c>
      <c r="S31" t="str">
        <f>HLOOKUP(A31,'PRIME-CPR'!$B$1:$CK$26,26,FALSE)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2" spans="1:19" x14ac:dyDescent="0.3">
      <c r="A32" t="s">
        <v>118</v>
      </c>
      <c r="B32" t="str">
        <f>VLOOKUP(A32,'SFC-Models-SFY'!$A$2:$B$56,2,FALSE)</f>
        <v>Unsec Std - 1049 - 132</v>
      </c>
      <c r="C32">
        <v>132</v>
      </c>
      <c r="D32">
        <v>9084.7488118811889</v>
      </c>
      <c r="E32">
        <v>0.10489999999999999</v>
      </c>
      <c r="F32">
        <v>1.003392E-2</v>
      </c>
      <c r="G32">
        <v>0.23</v>
      </c>
      <c r="H32">
        <v>0</v>
      </c>
      <c r="I32">
        <v>2.0000000000000002E-5</v>
      </c>
      <c r="J32">
        <v>0.15</v>
      </c>
      <c r="K32">
        <v>12</v>
      </c>
      <c r="L32">
        <v>0.5</v>
      </c>
      <c r="M32">
        <v>0.9824999999999996</v>
      </c>
      <c r="N32">
        <v>2.0000000000000018E-2</v>
      </c>
      <c r="O32">
        <v>0.96249999999999958</v>
      </c>
      <c r="P32">
        <v>3.7500000000000422E-2</v>
      </c>
      <c r="Q32">
        <v>1.003392E-2</v>
      </c>
      <c r="R32">
        <v>6.0852269463462783E-2</v>
      </c>
      <c r="S32" t="str">
        <f>HLOOKUP(A32,'PRIME-CPR'!$B$1:$CK$26,26,FALSE)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3" spans="1:19" x14ac:dyDescent="0.3">
      <c r="A33" t="s">
        <v>119</v>
      </c>
      <c r="B33" t="str">
        <f>VLOOKUP(A33,'SFC-Models-SFY'!$A$2:$B$56,2,FALSE)</f>
        <v>Unsec Std - 1349 - 132</v>
      </c>
      <c r="C33">
        <v>132</v>
      </c>
      <c r="D33">
        <v>9084.7488118811889</v>
      </c>
      <c r="E33">
        <v>0.13489999999999999</v>
      </c>
      <c r="F33">
        <v>1.8306625221887515E-2</v>
      </c>
      <c r="G33">
        <v>0.23</v>
      </c>
      <c r="H33">
        <v>0</v>
      </c>
      <c r="I33">
        <v>2.0000000000000002E-5</v>
      </c>
      <c r="J33">
        <v>0.15</v>
      </c>
      <c r="K33">
        <v>12</v>
      </c>
      <c r="L33">
        <v>0.5</v>
      </c>
      <c r="M33">
        <v>0.9824999999999996</v>
      </c>
      <c r="N33">
        <v>2.0000000000000018E-2</v>
      </c>
      <c r="O33">
        <v>0.96249999999999958</v>
      </c>
      <c r="P33">
        <v>3.7500000000000422E-2</v>
      </c>
      <c r="Q33">
        <v>1.8306625221887515E-2</v>
      </c>
      <c r="R33">
        <v>6.9974011372350375E-2</v>
      </c>
      <c r="S33" t="str">
        <f>HLOOKUP(A33,'PRIME-CPR'!$B$1:$CK$26,26,FALSE)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34" spans="1:19" x14ac:dyDescent="0.3">
      <c r="A34" t="s">
        <v>120</v>
      </c>
      <c r="B34" t="str">
        <f>VLOOKUP(A34,'SFC-Models-SFY'!$A$2:$B$56,2,FALSE)</f>
        <v>Unsec Std - 949 - 63</v>
      </c>
      <c r="C34">
        <v>63</v>
      </c>
      <c r="D34">
        <v>9084.7488118811889</v>
      </c>
      <c r="E34">
        <v>9.4899999999999998E-2</v>
      </c>
      <c r="F34">
        <v>5.1999999999999998E-3</v>
      </c>
      <c r="G34">
        <v>0.23</v>
      </c>
      <c r="H34">
        <v>0</v>
      </c>
      <c r="I34">
        <v>2.0000000000000002E-5</v>
      </c>
      <c r="J34">
        <v>0.15</v>
      </c>
      <c r="K34">
        <v>3</v>
      </c>
      <c r="L34">
        <v>0.15622342731096903</v>
      </c>
      <c r="M34">
        <v>1.0050000000000001</v>
      </c>
      <c r="N34">
        <v>2.0000000000000018E-2</v>
      </c>
      <c r="O34">
        <v>0.9850000000000001</v>
      </c>
      <c r="P34">
        <v>1.4999999999999902E-2</v>
      </c>
      <c r="Q34">
        <v>4.1047642242396116E-3</v>
      </c>
      <c r="R34">
        <v>7.4040846061261156E-2</v>
      </c>
      <c r="S34" t="str">
        <f>HLOOKUP(A34,'PRIME-CPR'!$B$1:$CK$26,26,FALSE)</f>
        <v>0.0436711592742046;0.051181123470062;0.0613711445667025</v>
      </c>
    </row>
    <row r="35" spans="1:19" x14ac:dyDescent="0.3">
      <c r="A35" t="s">
        <v>121</v>
      </c>
      <c r="B35" t="str">
        <f>VLOOKUP(A35,'SFC-Models-SFY'!$A$2:$B$56,2,FALSE)</f>
        <v>Unsec Std - 1149 - 63</v>
      </c>
      <c r="C35">
        <v>63</v>
      </c>
      <c r="D35">
        <v>9084.7488118811889</v>
      </c>
      <c r="E35">
        <v>0.1149</v>
      </c>
      <c r="F35">
        <v>1.5599999999999999E-2</v>
      </c>
      <c r="G35">
        <v>0.23</v>
      </c>
      <c r="H35">
        <v>0</v>
      </c>
      <c r="I35">
        <v>2.0000000000000002E-5</v>
      </c>
      <c r="J35">
        <v>0.15</v>
      </c>
      <c r="K35">
        <v>3</v>
      </c>
      <c r="L35">
        <v>0.15622342731096903</v>
      </c>
      <c r="M35">
        <v>1.0050000000000001</v>
      </c>
      <c r="N35">
        <v>2.0000000000000018E-2</v>
      </c>
      <c r="O35">
        <v>0.9850000000000001</v>
      </c>
      <c r="P35">
        <v>1.4999999999999902E-2</v>
      </c>
      <c r="Q35">
        <v>1.093248E-2</v>
      </c>
      <c r="R35">
        <v>8.4261029754977734E-2</v>
      </c>
      <c r="S35" t="str">
        <f>HLOOKUP(A35,'PRIME-CPR'!$B$1:$CK$26,26,FALSE)</f>
        <v>0.0436711592742046;0.051181123470062;0.0613711445667025</v>
      </c>
    </row>
    <row r="36" spans="1:19" x14ac:dyDescent="0.3">
      <c r="A36" t="s">
        <v>122</v>
      </c>
      <c r="B36" t="str">
        <f>VLOOKUP(A36,'SFC-Models-SFY'!$A$2:$B$56,2,FALSE)</f>
        <v>Unsec Std - 1249 - 63</v>
      </c>
      <c r="C36">
        <v>63</v>
      </c>
      <c r="D36">
        <v>9084.7488118811889</v>
      </c>
      <c r="E36">
        <v>0.1249</v>
      </c>
      <c r="F36">
        <v>2.69E-2</v>
      </c>
      <c r="G36">
        <v>0.23</v>
      </c>
      <c r="H36">
        <v>0</v>
      </c>
      <c r="I36">
        <v>2.0000000000000002E-5</v>
      </c>
      <c r="J36">
        <v>0.15</v>
      </c>
      <c r="K36">
        <v>3</v>
      </c>
      <c r="L36">
        <v>0.15622342731096903</v>
      </c>
      <c r="M36">
        <v>1.0050000000000001</v>
      </c>
      <c r="N36">
        <v>2.0000000000000018E-2</v>
      </c>
      <c r="O36">
        <v>0.9850000000000001</v>
      </c>
      <c r="P36">
        <v>1.4999999999999902E-2</v>
      </c>
      <c r="Q36">
        <v>9.4348799999999997E-3</v>
      </c>
      <c r="R36">
        <v>9.223251066937177E-2</v>
      </c>
      <c r="S36" t="str">
        <f>HLOOKUP(A36,'PRIME-CPR'!$B$1:$CK$26,26,FALSE)</f>
        <v>0.0436711592742046;0.051181123470062;0.0613711445667025</v>
      </c>
    </row>
    <row r="37" spans="1:19" x14ac:dyDescent="0.3">
      <c r="A37" t="s">
        <v>123</v>
      </c>
      <c r="B37" t="str">
        <f>VLOOKUP(A37,'SFC-Models-SFY'!$A$2:$B$56,2,FALSE)</f>
        <v>Unsec Std - 1449 - 63</v>
      </c>
      <c r="C37">
        <v>63</v>
      </c>
      <c r="D37">
        <v>9084.7488118811889</v>
      </c>
      <c r="E37">
        <v>0.1449</v>
      </c>
      <c r="F37">
        <v>4.1799999999999997E-2</v>
      </c>
      <c r="G37">
        <v>0.23</v>
      </c>
      <c r="H37">
        <v>0</v>
      </c>
      <c r="I37">
        <v>2.0000000000000002E-5</v>
      </c>
      <c r="J37">
        <v>0.15</v>
      </c>
      <c r="K37">
        <v>3</v>
      </c>
      <c r="L37">
        <v>0.15622342731096903</v>
      </c>
      <c r="M37">
        <v>1.0050000000000001</v>
      </c>
      <c r="N37">
        <v>2.0000000000000018E-2</v>
      </c>
      <c r="O37">
        <v>0.9850000000000001</v>
      </c>
      <c r="P37">
        <v>1.4999999999999902E-2</v>
      </c>
      <c r="Q37">
        <v>1.9192429668107882E-2</v>
      </c>
      <c r="R37">
        <v>9.9288061305761843E-2</v>
      </c>
      <c r="S37" t="str">
        <f>HLOOKUP(A37,'PRIME-CPR'!$B$1:$CK$26,26,FALSE)</f>
        <v>0.0436711592742046;0.051181123470062;0.0613711445667025</v>
      </c>
    </row>
    <row r="38" spans="1:19" x14ac:dyDescent="0.3">
      <c r="A38" t="s">
        <v>124</v>
      </c>
      <c r="B38" t="str">
        <f>VLOOKUP(A38,'SFC-Models-SFY'!$A$2:$B$56,2,FALSE)</f>
        <v>Unsec Std - 749 - 186</v>
      </c>
      <c r="C38">
        <v>186</v>
      </c>
      <c r="D38">
        <v>9084.7488118811889</v>
      </c>
      <c r="E38">
        <v>7.4899999999999994E-2</v>
      </c>
      <c r="F38">
        <v>5.3E-3</v>
      </c>
      <c r="G38">
        <v>0.23</v>
      </c>
      <c r="H38">
        <v>0</v>
      </c>
      <c r="I38">
        <v>2.0000000000000002E-5</v>
      </c>
      <c r="J38">
        <v>0.15</v>
      </c>
      <c r="K38">
        <v>6</v>
      </c>
      <c r="L38">
        <v>0.39420056660076597</v>
      </c>
      <c r="M38">
        <v>0.99250000000000027</v>
      </c>
      <c r="N38">
        <v>2.0000000000000018E-2</v>
      </c>
      <c r="O38">
        <v>0.97250000000000025</v>
      </c>
      <c r="P38">
        <v>2.7499999999999747E-2</v>
      </c>
      <c r="Q38">
        <v>4.3680000000000004E-3</v>
      </c>
      <c r="R38">
        <v>5.8518073937455561E-2</v>
      </c>
      <c r="S38" t="str">
        <f>HLOOKUP(A38,'PRIME-CPR'!$B$1:$CK$26,26,FALSE)</f>
        <v>0.0489849142849816;0.0428030164624041;0.0419287220074737;0.0555459909257746;0.0882837424238861;0.116654180496246</v>
      </c>
    </row>
    <row r="39" spans="1:19" x14ac:dyDescent="0.3">
      <c r="A39" t="s">
        <v>125</v>
      </c>
      <c r="B39" t="str">
        <f>VLOOKUP(A39,'SFC-Models-SFY'!$A$2:$B$56,2,FALSE)</f>
        <v>Unsec Std - 1149 - 186</v>
      </c>
      <c r="C39">
        <v>186</v>
      </c>
      <c r="D39">
        <v>9084.7488118811889</v>
      </c>
      <c r="E39">
        <v>0.1149</v>
      </c>
      <c r="F39">
        <v>1.3100000000000001E-2</v>
      </c>
      <c r="G39">
        <v>0.23</v>
      </c>
      <c r="H39">
        <v>0</v>
      </c>
      <c r="I39">
        <v>2.0000000000000002E-5</v>
      </c>
      <c r="J39">
        <v>0.15</v>
      </c>
      <c r="K39">
        <v>6</v>
      </c>
      <c r="L39">
        <v>0.39420056660076597</v>
      </c>
      <c r="M39">
        <v>0.99250000000000027</v>
      </c>
      <c r="N39">
        <v>2.0000000000000018E-2</v>
      </c>
      <c r="O39">
        <v>0.97250000000000025</v>
      </c>
      <c r="P39">
        <v>2.7499999999999747E-2</v>
      </c>
      <c r="Q39">
        <v>8.9450399999999996E-3</v>
      </c>
      <c r="R39">
        <v>8.4249886180868927E-2</v>
      </c>
      <c r="S39" t="str">
        <f>HLOOKUP(A39,'PRIME-CPR'!$B$1:$CK$26,26,FALSE)</f>
        <v>0.0489849142849816;0.0428030164624041;0.0419287220074737;0.0555459909257746;0.0882837424238861;0.116654180496246</v>
      </c>
    </row>
    <row r="40" spans="1:19" x14ac:dyDescent="0.3">
      <c r="A40" t="s">
        <v>126</v>
      </c>
      <c r="B40" t="str">
        <f>VLOOKUP(A40,'SFC-Models-SFY'!$A$2:$B$56,2,FALSE)</f>
        <v>Unsec Std - 1249 - 186</v>
      </c>
      <c r="C40">
        <v>186</v>
      </c>
      <c r="D40">
        <v>9084.7488118811889</v>
      </c>
      <c r="E40">
        <v>0.1249</v>
      </c>
      <c r="F40">
        <v>2.4400000000000002E-2</v>
      </c>
      <c r="G40">
        <v>0.23</v>
      </c>
      <c r="H40">
        <v>0</v>
      </c>
      <c r="I40">
        <v>2.0000000000000002E-5</v>
      </c>
      <c r="J40">
        <v>0.15</v>
      </c>
      <c r="K40">
        <v>6</v>
      </c>
      <c r="L40">
        <v>0.39420056660076597</v>
      </c>
      <c r="M40">
        <v>0.99250000000000027</v>
      </c>
      <c r="N40">
        <v>2.0000000000000018E-2</v>
      </c>
      <c r="O40">
        <v>0.97250000000000025</v>
      </c>
      <c r="P40">
        <v>2.7499999999999747E-2</v>
      </c>
      <c r="Q40">
        <v>8.53632E-3</v>
      </c>
      <c r="R40">
        <v>8.9731936113552457E-2</v>
      </c>
      <c r="S40" t="str">
        <f>HLOOKUP(A40,'PRIME-CPR'!$B$1:$CK$26,26,FALSE)</f>
        <v>0.0489849142849816;0.0428030164624041;0.0419287220074737;0.0555459909257746;0.0882837424238861;0.116654180496246</v>
      </c>
    </row>
    <row r="41" spans="1:19" x14ac:dyDescent="0.3">
      <c r="A41" t="s">
        <v>127</v>
      </c>
      <c r="B41" t="str">
        <f>VLOOKUP(A41,'SFC-Models-SFY'!$A$2:$B$56,2,FALSE)</f>
        <v>Unsec Std - 1449 - 186</v>
      </c>
      <c r="C41">
        <v>186</v>
      </c>
      <c r="D41">
        <v>9084.7488118811889</v>
      </c>
      <c r="E41">
        <v>0.1449</v>
      </c>
      <c r="F41">
        <v>3.49E-2</v>
      </c>
      <c r="G41">
        <v>0.23</v>
      </c>
      <c r="H41">
        <v>0</v>
      </c>
      <c r="I41">
        <v>2.0000000000000002E-5</v>
      </c>
      <c r="J41">
        <v>0.15</v>
      </c>
      <c r="K41">
        <v>6</v>
      </c>
      <c r="L41">
        <v>0.39420056660076597</v>
      </c>
      <c r="M41">
        <v>0.99250000000000027</v>
      </c>
      <c r="N41">
        <v>2.0000000000000018E-2</v>
      </c>
      <c r="O41">
        <v>0.97250000000000025</v>
      </c>
      <c r="P41">
        <v>2.7499999999999747E-2</v>
      </c>
      <c r="Q41">
        <v>1.5765359999999999E-2</v>
      </c>
      <c r="R41">
        <v>9.7175656632174423E-2</v>
      </c>
      <c r="S41" t="str">
        <f>HLOOKUP(A41,'PRIME-CPR'!$B$1:$CK$26,26,FALSE)</f>
        <v>0.0489849142849816;0.0428030164624041;0.0419287220074737;0.0555459909257746;0.0882837424238861;0.116654180496246</v>
      </c>
    </row>
    <row r="42" spans="1:19" x14ac:dyDescent="0.3">
      <c r="A42" t="s">
        <v>128</v>
      </c>
      <c r="B42" t="str">
        <f>VLOOKUP(A42,'SFC-Models-SFY'!$A$2:$B$56,2,FALSE)</f>
        <v>Unsec Std - 949 - 132</v>
      </c>
      <c r="C42">
        <v>132</v>
      </c>
      <c r="D42">
        <v>9084.7488118811889</v>
      </c>
      <c r="E42">
        <v>9.4899999999999998E-2</v>
      </c>
      <c r="F42">
        <v>5.7999999999999996E-3</v>
      </c>
      <c r="G42">
        <v>0.23</v>
      </c>
      <c r="H42">
        <v>0</v>
      </c>
      <c r="I42">
        <v>2.0000000000000002E-5</v>
      </c>
      <c r="J42">
        <v>0.15</v>
      </c>
      <c r="K42">
        <v>12</v>
      </c>
      <c r="L42">
        <v>0.5</v>
      </c>
      <c r="M42">
        <v>0.9824999999999996</v>
      </c>
      <c r="N42">
        <v>2.0000000000000018E-2</v>
      </c>
      <c r="O42">
        <v>0.96249999999999958</v>
      </c>
      <c r="P42">
        <v>3.7500000000000422E-2</v>
      </c>
      <c r="Q42">
        <v>4.6178597522695637E-3</v>
      </c>
      <c r="R42">
        <v>5.9621221249622991E-2</v>
      </c>
      <c r="S42" t="str">
        <f>HLOOKUP(A42,'PRIME-CPR'!$B$1:$CK$26,26,FALSE)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3" spans="1:19" x14ac:dyDescent="0.3">
      <c r="A43" t="s">
        <v>129</v>
      </c>
      <c r="B43" t="str">
        <f>VLOOKUP(A43,'SFC-Models-SFY'!$A$2:$B$56,2,FALSE)</f>
        <v>Unsec Std - 1149 - 132</v>
      </c>
      <c r="C43">
        <v>132</v>
      </c>
      <c r="D43">
        <v>9084.7488118811889</v>
      </c>
      <c r="E43">
        <v>0.1149</v>
      </c>
      <c r="F43">
        <v>1.44E-2</v>
      </c>
      <c r="G43">
        <v>0.23</v>
      </c>
      <c r="H43">
        <v>0</v>
      </c>
      <c r="I43">
        <v>2.0000000000000002E-5</v>
      </c>
      <c r="J43">
        <v>0.15</v>
      </c>
      <c r="K43">
        <v>12</v>
      </c>
      <c r="L43">
        <v>0.5</v>
      </c>
      <c r="M43">
        <v>0.9824999999999996</v>
      </c>
      <c r="N43">
        <v>2.0000000000000018E-2</v>
      </c>
      <c r="O43">
        <v>0.96249999999999958</v>
      </c>
      <c r="P43">
        <v>3.7500000000000422E-2</v>
      </c>
      <c r="Q43">
        <v>1.003392E-2</v>
      </c>
      <c r="R43">
        <v>6.4808875152794876E-2</v>
      </c>
      <c r="S43" t="str">
        <f>HLOOKUP(A43,'PRIME-CPR'!$B$1:$CK$26,26,FALSE)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4" spans="1:19" x14ac:dyDescent="0.3">
      <c r="A44" t="s">
        <v>130</v>
      </c>
      <c r="B44" t="str">
        <f>VLOOKUP(A44,'SFC-Models-SFY'!$A$2:$B$56,2,FALSE)</f>
        <v>Unsec Std - 1249 - 132</v>
      </c>
      <c r="C44">
        <v>132</v>
      </c>
      <c r="D44">
        <v>9084.7488118811889</v>
      </c>
      <c r="E44">
        <v>0.1249</v>
      </c>
      <c r="F44">
        <v>2.6499999999999999E-2</v>
      </c>
      <c r="G44">
        <v>0.23</v>
      </c>
      <c r="H44">
        <v>0</v>
      </c>
      <c r="I44">
        <v>2.0000000000000002E-5</v>
      </c>
      <c r="J44">
        <v>0.15</v>
      </c>
      <c r="K44">
        <v>12</v>
      </c>
      <c r="L44">
        <v>0.5</v>
      </c>
      <c r="M44">
        <v>0.9824999999999996</v>
      </c>
      <c r="N44">
        <v>2.0000000000000018E-2</v>
      </c>
      <c r="O44">
        <v>0.96249999999999958</v>
      </c>
      <c r="P44">
        <v>3.7500000000000422E-2</v>
      </c>
      <c r="Q44">
        <v>9.2851199999999991E-3</v>
      </c>
      <c r="R44">
        <v>6.6130912918461071E-2</v>
      </c>
      <c r="S44" t="str">
        <f>HLOOKUP(A44,'PRIME-CPR'!$B$1:$CK$26,26,FALSE)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5" spans="1:19" x14ac:dyDescent="0.3">
      <c r="A45" t="s">
        <v>131</v>
      </c>
      <c r="B45" t="str">
        <f>VLOOKUP(A45,'SFC-Models-SFY'!$A$2:$B$56,2,FALSE)</f>
        <v>Unsec Std - 1449 - 132</v>
      </c>
      <c r="C45">
        <v>132</v>
      </c>
      <c r="D45">
        <v>9084.7488118811889</v>
      </c>
      <c r="E45">
        <v>0.1449</v>
      </c>
      <c r="F45">
        <v>3.9800000000000002E-2</v>
      </c>
      <c r="G45">
        <v>0.23</v>
      </c>
      <c r="H45">
        <v>0</v>
      </c>
      <c r="I45">
        <v>2.0000000000000002E-5</v>
      </c>
      <c r="J45">
        <v>0.15</v>
      </c>
      <c r="K45">
        <v>12</v>
      </c>
      <c r="L45">
        <v>0.5</v>
      </c>
      <c r="M45">
        <v>0.9824999999999996</v>
      </c>
      <c r="N45">
        <v>2.0000000000000018E-2</v>
      </c>
      <c r="O45">
        <v>0.96249999999999958</v>
      </c>
      <c r="P45">
        <v>3.7500000000000422E-2</v>
      </c>
      <c r="Q45">
        <v>1.8306625221887515E-2</v>
      </c>
      <c r="R45">
        <v>6.7018172904143469E-2</v>
      </c>
      <c r="S45" t="str">
        <f>HLOOKUP(A45,'PRIME-CPR'!$B$1:$CK$26,26,FALSE)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6" spans="1:19" x14ac:dyDescent="0.3">
      <c r="A46" t="s">
        <v>132</v>
      </c>
      <c r="B46" t="str">
        <f>VLOOKUP(A46,'SFC-Models-SFY'!$A$2:$B$56,2,FALSE)</f>
        <v>Unsec Std - 949 - 120</v>
      </c>
      <c r="C46">
        <v>120</v>
      </c>
      <c r="D46">
        <v>10000</v>
      </c>
      <c r="E46">
        <v>9.4899999999999998E-2</v>
      </c>
      <c r="G46">
        <v>0.12</v>
      </c>
      <c r="H46">
        <v>0</v>
      </c>
      <c r="I46">
        <v>2.0000000000000002E-5</v>
      </c>
      <c r="J46">
        <v>0.15</v>
      </c>
      <c r="M46">
        <v>0.98250000000000004</v>
      </c>
      <c r="N46">
        <v>2.0000000000000018E-2</v>
      </c>
      <c r="O46">
        <v>0.96250000000000002</v>
      </c>
      <c r="P46">
        <v>3.7499999999999978E-2</v>
      </c>
      <c r="Q46">
        <v>2.8000000000000001E-2</v>
      </c>
      <c r="R46">
        <v>7.5865398972241316E-2</v>
      </c>
      <c r="S46" t="e">
        <f>HLOOKUP(A46,'PRIME-CPR'!$B$1:$CK$26,26,FALSE)</f>
        <v>#N/A</v>
      </c>
    </row>
    <row r="47" spans="1:19" x14ac:dyDescent="0.3">
      <c r="A47" t="s">
        <v>133</v>
      </c>
      <c r="B47" t="str">
        <f>VLOOKUP(A47,'SFC-Models-SFY'!$A$2:$B$56,2,FALSE)</f>
        <v>Unsec Std - 1490 - 120</v>
      </c>
      <c r="C47">
        <v>120</v>
      </c>
      <c r="D47">
        <v>10000</v>
      </c>
      <c r="E47">
        <v>0.14899999999999999</v>
      </c>
      <c r="G47">
        <v>0.16300000000000001</v>
      </c>
      <c r="H47">
        <v>0</v>
      </c>
      <c r="I47">
        <v>2.0000000000000002E-5</v>
      </c>
      <c r="J47">
        <v>0.15</v>
      </c>
      <c r="M47">
        <v>0.97</v>
      </c>
      <c r="N47">
        <v>2.0000000000000018E-2</v>
      </c>
      <c r="O47">
        <v>0.95</v>
      </c>
      <c r="P47">
        <v>5.0000000000000044E-2</v>
      </c>
      <c r="Q47">
        <v>9.64E-2</v>
      </c>
      <c r="R47">
        <v>7.2466138011081149E-2</v>
      </c>
      <c r="S47" t="e">
        <f>HLOOKUP(A47,'PRIME-CPR'!$B$1:$CK$26,26,FALSE)</f>
        <v>#N/A</v>
      </c>
    </row>
    <row r="48" spans="1:19" x14ac:dyDescent="0.3">
      <c r="A48" t="s">
        <v>134</v>
      </c>
      <c r="B48" t="str">
        <f>VLOOKUP(A48,'SFC-Models-SFY'!$A$2:$B$56,2,FALSE)</f>
        <v>Unsec Std - 649 - 132</v>
      </c>
      <c r="C48">
        <v>132</v>
      </c>
      <c r="D48">
        <v>9084.7488118811889</v>
      </c>
      <c r="E48">
        <v>6.4899999999999999E-2</v>
      </c>
      <c r="F48">
        <v>5.7999999999999996E-3</v>
      </c>
      <c r="G48">
        <v>0.23</v>
      </c>
      <c r="H48">
        <v>0</v>
      </c>
      <c r="I48">
        <v>2.0000000000000002E-5</v>
      </c>
      <c r="J48">
        <v>0.15</v>
      </c>
      <c r="K48">
        <v>12</v>
      </c>
      <c r="L48">
        <v>0.5</v>
      </c>
      <c r="M48">
        <v>0.9824999999999996</v>
      </c>
      <c r="N48">
        <v>2.0000000000000018E-2</v>
      </c>
      <c r="O48">
        <v>0.96249999999999958</v>
      </c>
      <c r="P48">
        <v>3.7500000000000422E-2</v>
      </c>
      <c r="Q48">
        <v>4.6178597522695637E-3</v>
      </c>
      <c r="R48">
        <v>4.2425321599135479E-2</v>
      </c>
      <c r="S48" t="str">
        <f>HLOOKUP(A48,'PRIME-CPR'!$B$1:$CK$26,26,FALSE)</f>
        <v>0.034087798153406;0.029131872311023;0.029131872311023;0.025455429050157;0.025455429050157;0.024935476432192;0.024935476432192;0.0330338174243784;0.0330338174243784;0.052503321664899;0.0723270250344311;0.115968664711763</v>
      </c>
    </row>
    <row r="49" spans="1:19" x14ac:dyDescent="0.3">
      <c r="A49" t="s">
        <v>135</v>
      </c>
      <c r="B49" t="e">
        <f>VLOOKUP(A49,'SFC-Models-SFY'!$A$2:$B$56,2,FALSE)</f>
        <v>#N/A</v>
      </c>
      <c r="C49">
        <v>128</v>
      </c>
      <c r="D49">
        <v>9084.7488118811889</v>
      </c>
      <c r="E49">
        <v>0.1149</v>
      </c>
      <c r="F49">
        <v>2.6499999999999999E-2</v>
      </c>
      <c r="G49">
        <v>0.23</v>
      </c>
      <c r="H49">
        <v>0</v>
      </c>
      <c r="I49">
        <v>2.0000000000000002E-5</v>
      </c>
      <c r="J49">
        <v>0.15</v>
      </c>
      <c r="K49">
        <v>8</v>
      </c>
      <c r="L49">
        <v>0.40566869532198813</v>
      </c>
      <c r="M49">
        <v>0.9824999999999996</v>
      </c>
      <c r="N49">
        <v>2.0000000000000018E-2</v>
      </c>
      <c r="O49">
        <v>0.96249999999999958</v>
      </c>
      <c r="P49">
        <v>3.7500000000000422E-2</v>
      </c>
      <c r="Q49">
        <v>9.2851199999999991E-3</v>
      </c>
      <c r="R49">
        <v>7.7195482578487962E-2</v>
      </c>
      <c r="S49" t="str">
        <f>HLOOKUP(A49,'PRIME-CPR'!$B$1:$CK$26,26,FALSE)</f>
        <v>0.051131697230109;0.0436978084665345;0.0436978084665345;0.0381831435752355;0.0381831435752355;0.037403214648288;0.037403214648288;0.115968664711763</v>
      </c>
    </row>
    <row r="50" spans="1:19" x14ac:dyDescent="0.3">
      <c r="A50" t="s">
        <v>136</v>
      </c>
      <c r="B50" t="str">
        <f>VLOOKUP(A50,'SFC-Models-SFY'!$A$2:$B$56,2,FALSE)</f>
        <v>Unsec Std - 1349 - 128</v>
      </c>
      <c r="C50">
        <v>128</v>
      </c>
      <c r="D50">
        <v>9084.7488118811889</v>
      </c>
      <c r="E50">
        <v>0.1149</v>
      </c>
      <c r="F50">
        <v>2.6499999999999999E-2</v>
      </c>
      <c r="G50">
        <v>0.23</v>
      </c>
      <c r="H50">
        <v>0</v>
      </c>
      <c r="I50">
        <v>2.0000000000000002E-5</v>
      </c>
      <c r="J50">
        <v>0.15</v>
      </c>
      <c r="K50">
        <v>8</v>
      </c>
      <c r="L50">
        <v>0.40566869532198813</v>
      </c>
      <c r="M50">
        <v>0.9824999999999996</v>
      </c>
      <c r="N50">
        <v>2.0000000000000018E-2</v>
      </c>
      <c r="O50">
        <v>0.96249999999999958</v>
      </c>
      <c r="P50">
        <v>3.7500000000000422E-2</v>
      </c>
      <c r="Q50">
        <v>1.8306625221887515E-2</v>
      </c>
      <c r="R50">
        <v>7.1466110526004378E-2</v>
      </c>
      <c r="S50" t="str">
        <f>HLOOKUP(A50,'PRIME-CPR'!$B$1:$CK$26,26,FALSE)</f>
        <v>0.051131697230109;0.0436978084665345;0.0436978084665345;0.0381831435752355;0.0381831435752355;0.037403214648288;0.037403214648288;0.115968664711763</v>
      </c>
    </row>
    <row r="51" spans="1:19" x14ac:dyDescent="0.3">
      <c r="A51" t="s">
        <v>137</v>
      </c>
      <c r="B51" t="str">
        <f>VLOOKUP(A51,'SFC-Models-SFY'!$A$2:$B$56,2,FALSE)</f>
        <v>Unsec Std - EPNI 36 Mo</v>
      </c>
      <c r="C51">
        <v>36</v>
      </c>
      <c r="D51">
        <v>10226.825036496351</v>
      </c>
      <c r="E51">
        <v>0</v>
      </c>
      <c r="G51">
        <v>0.214</v>
      </c>
      <c r="H51">
        <v>0</v>
      </c>
      <c r="I51">
        <v>2.0000000000000002E-5</v>
      </c>
      <c r="J51">
        <v>0.15</v>
      </c>
      <c r="M51">
        <v>0.92</v>
      </c>
      <c r="N51">
        <v>2.0000000000000018E-2</v>
      </c>
      <c r="O51">
        <v>0.9</v>
      </c>
      <c r="P51">
        <v>9.9999999999999978E-2</v>
      </c>
      <c r="Q51">
        <v>1.1061839012006662E-2</v>
      </c>
      <c r="R51">
        <v>5.9255891236150049E-2</v>
      </c>
      <c r="S51" t="e">
        <f>HLOOKUP(A51,'PRIME-CPR'!$B$1:$CK$26,26,FALSE)</f>
        <v>#N/A</v>
      </c>
    </row>
    <row r="52" spans="1:19" x14ac:dyDescent="0.3">
      <c r="A52" t="s">
        <v>138</v>
      </c>
      <c r="B52" t="str">
        <f>VLOOKUP(A52,'SFC-Models-SFY'!$A$2:$B$56,2,FALSE)</f>
        <v>Unsec Std - EPNI 60 Mo</v>
      </c>
      <c r="C52">
        <v>60</v>
      </c>
      <c r="D52">
        <v>11934.351599780104</v>
      </c>
      <c r="E52">
        <v>0</v>
      </c>
      <c r="G52">
        <v>0.13900000000000001</v>
      </c>
      <c r="H52">
        <v>0</v>
      </c>
      <c r="I52">
        <v>2.0000000000000002E-5</v>
      </c>
      <c r="J52">
        <v>0.15</v>
      </c>
      <c r="M52">
        <v>0.88500000000000001</v>
      </c>
      <c r="N52">
        <v>2.0000000000000018E-2</v>
      </c>
      <c r="O52">
        <v>0.86499999999999999</v>
      </c>
      <c r="P52">
        <v>0.13500000000000001</v>
      </c>
      <c r="Q52">
        <v>1.0313210857813173E-2</v>
      </c>
      <c r="R52">
        <v>5.3567640213698198E-2</v>
      </c>
      <c r="S52" t="e">
        <f>HLOOKUP(A52,'PRIME-CPR'!$B$1:$CK$26,26,FALSE)</f>
        <v>#N/A</v>
      </c>
    </row>
    <row r="53" spans="1:19" x14ac:dyDescent="0.3">
      <c r="A53" t="s">
        <v>139</v>
      </c>
      <c r="B53" t="e">
        <f>VLOOKUP(A53,'SFC-Models-SFY'!$A$2:$B$56,2,FALSE)</f>
        <v>#N/A</v>
      </c>
      <c r="C53">
        <v>123</v>
      </c>
      <c r="D53">
        <v>10000</v>
      </c>
      <c r="E53">
        <v>9.9000000000000005E-2</v>
      </c>
      <c r="F53">
        <v>9.9055277267159434E-3</v>
      </c>
      <c r="G53">
        <v>0.316</v>
      </c>
      <c r="H53">
        <v>0</v>
      </c>
      <c r="I53">
        <v>2.0000000000000002E-5</v>
      </c>
      <c r="J53">
        <v>0.15</v>
      </c>
      <c r="K53">
        <v>3</v>
      </c>
      <c r="L53">
        <v>0.15622342731096903</v>
      </c>
      <c r="M53">
        <v>1.0049999999999999</v>
      </c>
      <c r="N53">
        <v>1.9999999999999907E-2</v>
      </c>
      <c r="O53">
        <v>0.98499999999999999</v>
      </c>
      <c r="P53">
        <v>1.5000000000000013E-2</v>
      </c>
      <c r="Q53">
        <v>9.9055277267159434E-3</v>
      </c>
      <c r="R53">
        <v>7.4175802504910848E-2</v>
      </c>
      <c r="S53" t="str">
        <f>HLOOKUP(A53,'PRIME-CPR'!$B$1:$CK$26,26,FALSE)</f>
        <v>0.0436711592742046;0.051181123470062;0.0613711445667025</v>
      </c>
    </row>
    <row r="54" spans="1:19" x14ac:dyDescent="0.3">
      <c r="A54" t="s">
        <v>140</v>
      </c>
      <c r="B54" t="e">
        <f>VLOOKUP(A54,'SFC-Models-SFY'!$A$2:$B$56,2,FALSE)</f>
        <v>#N/A</v>
      </c>
      <c r="C54">
        <v>183</v>
      </c>
      <c r="D54">
        <v>10000</v>
      </c>
      <c r="E54">
        <v>9.9000000000000005E-2</v>
      </c>
      <c r="F54">
        <v>9.3474245143323042E-3</v>
      </c>
      <c r="G54">
        <v>0.316</v>
      </c>
      <c r="H54">
        <v>0</v>
      </c>
      <c r="I54">
        <v>2.0000000000000002E-5</v>
      </c>
      <c r="J54">
        <v>0.15</v>
      </c>
      <c r="K54">
        <v>3</v>
      </c>
      <c r="L54">
        <v>0.15622342731096903</v>
      </c>
      <c r="M54">
        <v>0.99250000000000005</v>
      </c>
      <c r="N54">
        <v>2.0000000000000018E-2</v>
      </c>
      <c r="O54">
        <v>0.97250000000000003</v>
      </c>
      <c r="P54">
        <v>2.7499999999999969E-2</v>
      </c>
      <c r="Q54">
        <v>9.3474245143323042E-3</v>
      </c>
      <c r="R54">
        <v>8.2280171889101084E-2</v>
      </c>
      <c r="S54" t="str">
        <f>HLOOKUP(A54,'PRIME-CPR'!$B$1:$CK$26,26,FALSE)</f>
        <v>0.0436711592742046;0.051181123470062;0.0613711445667025</v>
      </c>
    </row>
    <row r="55" spans="1:19" x14ac:dyDescent="0.3">
      <c r="A55" t="s">
        <v>141</v>
      </c>
      <c r="B55" t="e">
        <f>VLOOKUP(A55,'SFC-Models-SFY'!$A$2:$B$56,2,FALSE)</f>
        <v>#N/A</v>
      </c>
      <c r="C55">
        <v>183</v>
      </c>
      <c r="D55">
        <v>10000</v>
      </c>
      <c r="E55">
        <v>8.4900000000000003E-2</v>
      </c>
      <c r="F55">
        <v>1.2500000000000001E-2</v>
      </c>
      <c r="G55">
        <v>0.316</v>
      </c>
      <c r="H55">
        <v>0</v>
      </c>
      <c r="I55">
        <v>2.0000000000000002E-5</v>
      </c>
      <c r="J55">
        <v>0.15</v>
      </c>
      <c r="K55">
        <v>3</v>
      </c>
      <c r="L55">
        <v>0.15622342731096903</v>
      </c>
      <c r="M55">
        <v>0.97399999999999998</v>
      </c>
      <c r="N55">
        <v>2.0000000000000018E-2</v>
      </c>
      <c r="O55">
        <v>0.95399999999999996</v>
      </c>
      <c r="P55">
        <v>4.6000000000000041E-2</v>
      </c>
      <c r="Q55">
        <v>2.8000000000000001E-2</v>
      </c>
      <c r="R55">
        <v>6.4987071250211415E-2</v>
      </c>
      <c r="S55" t="str">
        <f>HLOOKUP(A55,'PRIME-CPR'!$B$1:$CK$26,26,FALSE)</f>
        <v>0.0436711592742046;0.051181123470062;0.0613711445667025</v>
      </c>
    </row>
    <row r="56" spans="1:19" x14ac:dyDescent="0.3">
      <c r="A56" t="s">
        <v>142</v>
      </c>
      <c r="B56" t="str">
        <f>VLOOKUP(A56,'SFC-Models-SFY'!$A$2:$B$56,2,FALSE)</f>
        <v>Unsec Std - 1099 - 120</v>
      </c>
      <c r="C56">
        <v>120</v>
      </c>
      <c r="D56">
        <v>10000</v>
      </c>
      <c r="E56">
        <v>0.1099</v>
      </c>
      <c r="G56">
        <v>0.16300000000000001</v>
      </c>
      <c r="H56">
        <v>0</v>
      </c>
      <c r="I56">
        <v>2.0000000000000002E-5</v>
      </c>
      <c r="J56">
        <v>0.15</v>
      </c>
      <c r="M56">
        <v>0.9</v>
      </c>
      <c r="N56">
        <v>2.0000000000000018E-2</v>
      </c>
      <c r="O56">
        <v>0.88</v>
      </c>
      <c r="P56">
        <v>0.12</v>
      </c>
      <c r="Q56">
        <v>9.64E-2</v>
      </c>
      <c r="R56">
        <v>6.4286894780043013E-2</v>
      </c>
      <c r="S56" t="e">
        <f>HLOOKUP(A56,'PRIME-CPR'!$B$1:$CK$26,26,FALSE)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DF54840F04C143904C8BAE9DEAB5F8" ma:contentTypeVersion="12" ma:contentTypeDescription="Create a new document." ma:contentTypeScope="" ma:versionID="9ac3a592ce6ad1bdc84d72a152f745b7">
  <xsd:schema xmlns:xsd="http://www.w3.org/2001/XMLSchema" xmlns:xs="http://www.w3.org/2001/XMLSchema" xmlns:p="http://schemas.microsoft.com/office/2006/metadata/properties" xmlns:ns3="0a64fa9a-5ead-4eab-82d0-23bd6e4caa75" xmlns:ns4="e9a09b61-1de6-473e-99a4-baff36cb11cf" targetNamespace="http://schemas.microsoft.com/office/2006/metadata/properties" ma:root="true" ma:fieldsID="929b2635088e4c274ce0d6937a2e2c9b" ns3:_="" ns4:_="">
    <xsd:import namespace="0a64fa9a-5ead-4eab-82d0-23bd6e4caa75"/>
    <xsd:import namespace="e9a09b61-1de6-473e-99a4-baff36cb11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4fa9a-5ead-4eab-82d0-23bd6e4caa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09b61-1de6-473e-99a4-baff36cb11c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64fa9a-5ead-4eab-82d0-23bd6e4caa75" xsi:nil="true"/>
  </documentManagement>
</p:properties>
</file>

<file path=customXml/itemProps1.xml><?xml version="1.0" encoding="utf-8"?>
<ds:datastoreItem xmlns:ds="http://schemas.openxmlformats.org/officeDocument/2006/customXml" ds:itemID="{521F7FA6-E644-4643-A6FA-00C54F8E61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546C6-256E-4D14-8EA6-C76ED3430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64fa9a-5ead-4eab-82d0-23bd6e4caa75"/>
    <ds:schemaRef ds:uri="e9a09b61-1de6-473e-99a4-baff36cb1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D36CB2-5903-4E5E-AE8C-453DFAB86CFF}">
  <ds:schemaRefs>
    <ds:schemaRef ds:uri="http://purl.org/dc/dcmitype/"/>
    <ds:schemaRef ds:uri="http://www.w3.org/XML/1998/namespace"/>
    <ds:schemaRef ds:uri="0a64fa9a-5ead-4eab-82d0-23bd6e4caa75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9a09b61-1de6-473e-99a4-baff36cb11c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SFY-CPR</vt:lpstr>
      <vt:lpstr>SFC-Models-SFY</vt:lpstr>
      <vt:lpstr>PRIME-CPR</vt:lpstr>
      <vt:lpstr>SFC-Models-PRIME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k.</dc:creator>
  <cp:lastModifiedBy>Jagadish Balaji</cp:lastModifiedBy>
  <cp:lastPrinted>2024-03-18T16:31:52Z</cp:lastPrinted>
  <dcterms:created xsi:type="dcterms:W3CDTF">2024-02-20T19:26:31Z</dcterms:created>
  <dcterms:modified xsi:type="dcterms:W3CDTF">2025-10-10T15:45:42Z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0x01010066DF54840F04C143904C8BAE9DEAB5F8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2025-04-04T22:31:46Z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8c10ab77-83ad-4002-ae50-e8324fa0e310</vt:lpwstr>
  </property>
  <property fmtid="{D5CDD505-2E9C-101B-9397-08002B2CF9AE}" pid="8" name="MSIP_Label_defa4170-0d19-0005-0004-bc88714345d2_ActionId">
    <vt:lpwstr>8f111ff1-c70a-4eb7-a752-0c29ab118c0f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