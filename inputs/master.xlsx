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twgglobal-my.sharepoint.com/personal/hkhandelwal_twgglobal_com/Documents/Work/SFC/LMI/"/>
    </mc:Choice>
  </mc:AlternateContent>
  <xr:revisionPtr revIDLastSave="1621" documentId="13_ncr:1_{FFE745AD-BEA3-4D7B-9E1C-CC13A8A5AF54}" xr6:coauthVersionLast="47" xr6:coauthVersionMax="47" xr10:uidLastSave="{D2F4B6B2-4E96-48FD-BAC2-14538D4228A4}"/>
  <bookViews>
    <workbookView xWindow="-108" yWindow="-108" windowWidth="30936" windowHeight="18696" tabRatio="500" activeTab="1" xr2:uid="{273D3980-F97A-4822-8659-AE944A752715}"/>
  </bookViews>
  <sheets>
    <sheet name="portfolio_7_50" sheetId="10" r:id="rId1"/>
    <sheet name="targets" sheetId="15" r:id="rId2"/>
    <sheet name="Worst Case" sheetId="14" r:id="rId3"/>
    <sheet name="Sheet2" sheetId="12" r:id="rId4"/>
    <sheet name="Sheet1" sheetId="11" r:id="rId5"/>
  </sheets>
  <definedNames>
    <definedName name="_xlnm._FilterDatabase" localSheetId="0" hidden="1">portfolio_7_50!$V$1:$V$54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7" i="10" l="1"/>
  <c r="O58" i="10"/>
  <c r="O59" i="10"/>
  <c r="O60" i="10"/>
  <c r="V56" i="10"/>
  <c r="V57" i="10"/>
  <c r="V58" i="10"/>
  <c r="V59" i="10"/>
  <c r="V60" i="10"/>
  <c r="O56" i="10"/>
  <c r="V55" i="10" l="1"/>
  <c r="A45" i="11" l="1"/>
  <c r="A47" i="11"/>
  <c r="A48" i="11"/>
  <c r="A46" i="11"/>
  <c r="A53" i="11"/>
  <c r="A42" i="11"/>
  <c r="A44" i="11"/>
  <c r="A40" i="11"/>
  <c r="A39" i="11"/>
  <c r="A51" i="11"/>
  <c r="A41" i="11"/>
  <c r="A43" i="11"/>
  <c r="A49" i="11"/>
  <c r="A50" i="11"/>
  <c r="A52" i="11"/>
  <c r="A54" i="11"/>
  <c r="A33" i="11"/>
  <c r="A36" i="11"/>
  <c r="A35" i="11"/>
  <c r="A31" i="11"/>
  <c r="A13" i="11"/>
  <c r="A15" i="11"/>
  <c r="A21" i="11"/>
  <c r="A16" i="11"/>
  <c r="A19" i="11"/>
  <c r="A20" i="11"/>
  <c r="A23" i="11"/>
  <c r="A25" i="11"/>
  <c r="A27" i="11"/>
  <c r="A28" i="11"/>
  <c r="A29" i="11"/>
  <c r="A22" i="11"/>
  <c r="A12" i="11"/>
  <c r="A9" i="11"/>
  <c r="A10" i="11"/>
  <c r="A11" i="11"/>
  <c r="A37" i="11"/>
  <c r="A38" i="11"/>
  <c r="A8" i="11"/>
  <c r="A2" i="11"/>
  <c r="A4" i="11"/>
  <c r="A6" i="11"/>
  <c r="A30" i="11"/>
  <c r="A14" i="11"/>
  <c r="A17" i="11"/>
  <c r="A24" i="11"/>
  <c r="A26" i="11"/>
  <c r="A32" i="11"/>
  <c r="A3" i="11"/>
  <c r="A5" i="11"/>
  <c r="A7" i="11"/>
  <c r="A18" i="11"/>
  <c r="A34" i="11"/>
  <c r="M3" i="10" l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2" i="10"/>
</calcChain>
</file>

<file path=xl/sharedStrings.xml><?xml version="1.0" encoding="utf-8"?>
<sst xmlns="http://schemas.openxmlformats.org/spreadsheetml/2006/main" count="561" uniqueCount="165">
  <si>
    <t>Loan Product Variables</t>
  </si>
  <si>
    <t>loan program</t>
  </si>
  <si>
    <t>loan_term</t>
  </si>
  <si>
    <t>Avg Loan Size $'s</t>
  </si>
  <si>
    <t>coupon</t>
  </si>
  <si>
    <t>cdr_promo</t>
  </si>
  <si>
    <t>constant_cpr</t>
  </si>
  <si>
    <t>servicing_cost</t>
  </si>
  <si>
    <t>late_percent</t>
  </si>
  <si>
    <t>recovery_percent</t>
  </si>
  <si>
    <t>promo_term</t>
  </si>
  <si>
    <t>Promo Period Prepayment</t>
  </si>
  <si>
    <t>modeled_purchase_price</t>
  </si>
  <si>
    <t>SFC Loan Margin</t>
  </si>
  <si>
    <t>SFC Purchase Price</t>
  </si>
  <si>
    <t>Merchant Discount</t>
  </si>
  <si>
    <t>cdr</t>
  </si>
  <si>
    <t>yield</t>
  </si>
  <si>
    <t>weight</t>
  </si>
  <si>
    <t>weight(old)</t>
  </si>
  <si>
    <t>weight(worst case)</t>
  </si>
  <si>
    <t>Purchase Price(Worst Case)</t>
  </si>
  <si>
    <t>tagging</t>
  </si>
  <si>
    <t>cpr</t>
  </si>
  <si>
    <t>platform</t>
  </si>
  <si>
    <t>type</t>
  </si>
  <si>
    <t>proposed_cdr_promo</t>
  </si>
  <si>
    <t>proposed_cdr</t>
  </si>
  <si>
    <t>proposed_cpr</t>
  </si>
  <si>
    <t>proposed_promo_cpr_percent</t>
  </si>
  <si>
    <t>irr_support</t>
  </si>
  <si>
    <t>WP12</t>
  </si>
  <si>
    <t>12 Mth WPDI</t>
  </si>
  <si>
    <t>PRIME</t>
  </si>
  <si>
    <t>0.0857487051848048;0.0610754496958203;0.0513105837504979;0.0531944018026846;0.0498039384711616;0.0484632728430639;0.0530638880524382;0.0460181756381459;0.0535151570899108;0.0609918936727764;0.0897706022746428;0.100447462086909</t>
  </si>
  <si>
    <t>prime</t>
  </si>
  <si>
    <t>wpdi</t>
  </si>
  <si>
    <t>WP12-2395</t>
  </si>
  <si>
    <t>12 Mth WPDI - 2395</t>
  </si>
  <si>
    <t>WP18</t>
  </si>
  <si>
    <t>18 Mth WPDI</t>
  </si>
  <si>
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</si>
  <si>
    <t>WP18-2395</t>
  </si>
  <si>
    <t>18 Mth WPDI - 2395</t>
  </si>
  <si>
    <t>WP24</t>
  </si>
  <si>
    <t>24 Mth WPDI</t>
  </si>
  <si>
    <t>0.0538802514747746;0.0450107112074825;0.0290435059631223;0.0269110688933608;0.0329133419615629;0.03778226424726;0.0232883570793076;0.0303450750062364;0.0278511944142547;0.0204041596515225;0.0287588205249249;0.024276493719799;0.0203752870880823;0.0263855276501278;0.0264984370739482;0.0311667302716944;0.0266788484511471;0.0229199465675228;0.0239449730692468;0.0281456717931416;0.0348539461672305;0.049331336098592;0.0713419744929187;0.0692808423423899</t>
  </si>
  <si>
    <t>WP24-2395</t>
  </si>
  <si>
    <t>24 Mth WPDI - 2395</t>
  </si>
  <si>
    <t>WP6</t>
  </si>
  <si>
    <t>6 Mth WPDI</t>
  </si>
  <si>
    <t>0.127193115890202;0.0983579230509763;0.0684690070488666;0.0780269469612146;0.10649516707994;0.123244925532516</t>
  </si>
  <si>
    <t>NINP10</t>
  </si>
  <si>
    <t>NINP - 10 Mo</t>
  </si>
  <si>
    <t>0.0709;0.0504;0.0504;0.0504;0.0504;0.0504;0.0504;0.0709;0.1132;0.1649</t>
  </si>
  <si>
    <t>ninp</t>
  </si>
  <si>
    <t>NINP14</t>
  </si>
  <si>
    <t>NINP - 14 Mo</t>
  </si>
  <si>
    <t>0.0616;0.0411;0.0411;0.0411;0.0411;0.0411;0.0411;0.0411;0.0411;0.0411;0.0411;0.0539;0.0924;0.1565</t>
  </si>
  <si>
    <t>NINP20</t>
  </si>
  <si>
    <t>NINP - 20 Mo</t>
  </si>
  <si>
    <t>0.046;0.0307;0.0307;0.0307;0.0307;0.0307;0.0307;0.0307;0.0307;0.0307;0.0307;0.0307;0.0307;0.0307;0.0307;0.0307;0.0307;0.0471;0.0911;0.1049</t>
  </si>
  <si>
    <t>NINP24</t>
  </si>
  <si>
    <t>NINP - 24 Mo</t>
  </si>
  <si>
    <t>0.0302682303390938;0.0356001359822339;0.0264899498130113;0.0278713659278495;0.0237586612170386;0.0257922068481641;0.0212229312672512;0.0296325482161332;0.0295657455342041;0.0308287508657281;0.0381673706394066;0.0308324037932695;0.0308955187188472;0.028723292961373;0.032676297334632;0.0210930382447866;0.0277371162310062;0.0370975473999753;0.035807390962314;0.035803371307891;0.0363913891800091;0.0638536190282034;0.0865123925721557;0.0969787256154225</t>
  </si>
  <si>
    <t>1090 - 120</t>
  </si>
  <si>
    <t>Unsec Std - 1090 - 120</t>
  </si>
  <si>
    <t>standard</t>
  </si>
  <si>
    <t>NINP4337</t>
  </si>
  <si>
    <t>Unsec Std - 1090 - 123</t>
  </si>
  <si>
    <t>0.0363405847853139;0.0425899377937978;0.0510694774208883</t>
  </si>
  <si>
    <t>hybrid</t>
  </si>
  <si>
    <t>1090 - 180</t>
  </si>
  <si>
    <t>Unsec Std - 1090 - 180</t>
  </si>
  <si>
    <t>1190 - 120</t>
  </si>
  <si>
    <t>Unsec Std - 1190 - 120</t>
  </si>
  <si>
    <t>NINP4342</t>
  </si>
  <si>
    <t>Unsec Std - 1190 - 123</t>
  </si>
  <si>
    <t>NINP1190-126</t>
  </si>
  <si>
    <t>Unsec Std - 1190 - 126</t>
  </si>
  <si>
    <t>0.0304101228333604;0.0285764276898905;0.0302839020107548;0.0381893037751229;0.0532504811001973;0.0718674265305649</t>
  </si>
  <si>
    <t>1190 - 144</t>
  </si>
  <si>
    <t>Unsec Std - 1190 - 144</t>
  </si>
  <si>
    <t>1190 - 180</t>
  </si>
  <si>
    <t>Unsec Std - 1190 - 180</t>
  </si>
  <si>
    <t>1190 - 60</t>
  </si>
  <si>
    <t>Unsec Std - 1190 - 60</t>
  </si>
  <si>
    <t>1195-180</t>
  </si>
  <si>
    <t>Unsec Std - 1195 - 180</t>
  </si>
  <si>
    <t>1290 - 120</t>
  </si>
  <si>
    <t>Unsec Std - 1290 - 120</t>
  </si>
  <si>
    <t>NINP4348</t>
  </si>
  <si>
    <t>Unsec Std - 1290 - 123</t>
  </si>
  <si>
    <t>1389 - 120</t>
  </si>
  <si>
    <t>Unsec Std - 1389 - 120</t>
  </si>
  <si>
    <t>NINP4355</t>
  </si>
  <si>
    <t>Unsec Std - 1390 - 123</t>
  </si>
  <si>
    <t>1390 - 144</t>
  </si>
  <si>
    <t>Unsec Std - 1390 - 144</t>
  </si>
  <si>
    <t>795-180</t>
  </si>
  <si>
    <t>Unsec Std - 795 - 180</t>
  </si>
  <si>
    <t>895-180</t>
  </si>
  <si>
    <t>Unsec Std - 895 - 180</t>
  </si>
  <si>
    <t>NINP4331</t>
  </si>
  <si>
    <t>Unsec Std - 990 - 123</t>
  </si>
  <si>
    <t>990 - 180</t>
  </si>
  <si>
    <t>Unsec Std - 990 - 180</t>
  </si>
  <si>
    <t>NINP4306</t>
  </si>
  <si>
    <t>Unsec Std - 990 - 183</t>
  </si>
  <si>
    <t>132 PF</t>
  </si>
  <si>
    <t>Unsec Std - 999 - 120</t>
  </si>
  <si>
    <t>107PF</t>
  </si>
  <si>
    <t>Unsec Std - 999 - 180</t>
  </si>
  <si>
    <t>212PF</t>
  </si>
  <si>
    <t>Unsec Std - 999 - 60</t>
  </si>
  <si>
    <t>158PF</t>
  </si>
  <si>
    <t>Unsec Std - 999 - 90</t>
  </si>
  <si>
    <t>36EPNI</t>
  </si>
  <si>
    <t>Unsec Std - EPNI 36 Mo</t>
  </si>
  <si>
    <t>epni</t>
  </si>
  <si>
    <t>60EPNI</t>
  </si>
  <si>
    <t>Unsec Std - EPNI 60 Mo</t>
  </si>
  <si>
    <t>SFY</t>
  </si>
  <si>
    <t>0.0652777389894097;0.0356953756194261;0.034058164028278;0.0279406174401888;0.031594188639639;0.0340876225347276;0.0330167624837598;0.0298519380389914;0.0339574704072298;0.0358908101981715;0.0344087960474102;0.0341519438576293;0.0374083860415759;0.0324308183993861;0.0438555113830001;0.0622556562993365;0.0907677106631277;0.123621065918976</t>
  </si>
  <si>
    <t>sfy</t>
  </si>
  <si>
    <t>0.123686189059583;0.0811056604542175;0.08390003415553;0.0705313259374669;0.111422674332577;0.183997727003596</t>
  </si>
  <si>
    <t>0.0712962962962963;0.0611111111111111;0.0509259259259259;0.0509259259259259;0.0509259259259259;0.0509259259259259;0.0509259259259259;0.0814814814814815;0.162962962962963;0.193518518518519</t>
  </si>
  <si>
    <t>NINP12</t>
  </si>
  <si>
    <t>NINP - 12 Mo</t>
  </si>
  <si>
    <t>0.0676333498793084;0.0533756521010278;0.0532500454780047;0.0542831166094344;0.0547723788788143;0.0542447568131707;0.0564895709616642;0.0594113771367509;0.0667099854605115;0.0816593237270766;0.148475440070047;0.22009500288419</t>
  </si>
  <si>
    <t>0.031;0.0305;0.0305;0.0305;0.0305;0.0305;0.0305;0.0305;0.0305;0.0305;0.0305;0.0305;0.0305;0.0305;0.0305;0.0305;0.0305;0.04;0.15;0.175</t>
  </si>
  <si>
    <t>1095-120</t>
  </si>
  <si>
    <t>Unsec Std - 1095 - 120</t>
  </si>
  <si>
    <t>NINP1199/186</t>
  </si>
  <si>
    <t>Unsec Std - 1199 - 186</t>
  </si>
  <si>
    <t>0.0489849142849816;0.0428030164624041;0.0419287220074737;0.0555459909257746;0.0882837424238861;0.116654180496246</t>
  </si>
  <si>
    <t>NINP1249-186</t>
  </si>
  <si>
    <t>Unsec Std - 1249 - 186</t>
  </si>
  <si>
    <t>0.0436711592742046;0.051181123470062;0.0613711445667025</t>
  </si>
  <si>
    <t>NINP1399/186</t>
  </si>
  <si>
    <t>Unsec Std - 1399 - 186</t>
  </si>
  <si>
    <t>160PF</t>
  </si>
  <si>
    <t>Unsec Std - 1490 - 120</t>
  </si>
  <si>
    <t>BD</t>
  </si>
  <si>
    <t>standard_bd</t>
  </si>
  <si>
    <t>weight (Current)</t>
  </si>
  <si>
    <t>Loan program</t>
  </si>
  <si>
    <t>Term of Loan in Mths (total)</t>
  </si>
  <si>
    <t>Loan Interest Rate</t>
  </si>
  <si>
    <t>CDR - Promotion Period Only</t>
  </si>
  <si>
    <t>Constant Prepay Rate</t>
  </si>
  <si>
    <t>Servicing Fees</t>
  </si>
  <si>
    <t>Late Fees% UPB/Mth</t>
  </si>
  <si>
    <t>Default Recovery %</t>
  </si>
  <si>
    <t>Promotional Period Term</t>
  </si>
  <si>
    <t>SFC Selling Price</t>
  </si>
  <si>
    <t>CDR No Promo or Post Promo</t>
  </si>
  <si>
    <t>Single Pool Net Loan Yield</t>
  </si>
  <si>
    <t>cdrshock</t>
  </si>
  <si>
    <t>promo_cdrshock</t>
  </si>
  <si>
    <t>cprshock</t>
  </si>
  <si>
    <t>promo_cprshock</t>
  </si>
  <si>
    <t>target</t>
  </si>
  <si>
    <t>Unsec Std - 999 - 126</t>
  </si>
  <si>
    <t>0.043671159274204605;0.05118112347006197;0.06137114456670246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</si>
</sst>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2" fillId="0" borderId="0" xfId="0" applyFont="1"/>
    <xf numFmtId="10" fontId="0" fillId="0" borderId="0" xfId="1" applyNumberFormat="1" applyFont="1"/>
    <xf numFmtId="10" fontId="0" fillId="2" borderId="0" xfId="1" applyNumberFormat="1" applyFont="1" applyFill="1"/>
    <xf numFmtId="164" fontId="0" fillId="0" borderId="0" xfId="1" applyNumberFormat="1" applyFont="1"/>
    <xf numFmtId="164" fontId="0" fillId="2" borderId="0" xfId="1" applyNumberFormat="1" applyFont="1" applyFill="1"/>
    <xf numFmtId="0" fontId="0" fillId="0" borderId="1" xfId="0" applyBorder="1"/>
    <xf numFmtId="10" fontId="0" fillId="0" borderId="1" xfId="1" applyNumberFormat="1" applyFont="1" applyBorder="1"/>
    <xf numFmtId="0" fontId="0" fillId="2" borderId="1" xfId="0" applyFill="1" applyBorder="1"/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9005-050F-4851-ACC7-072C229C1BBA}">
  <dimension ref="A1:AE60"/>
  <sheetViews>
    <sheetView zoomScale="115" zoomScaleNormal="115" workbookViewId="0">
      <pane ySplit="1" topLeftCell="A31" activePane="bottomLeft" state="frozen"/>
      <selection pane="bottomLeft" activeCell="AA55" sqref="AA55:AD60"/>
    </sheetView>
  </sheetViews>
  <sheetFormatPr defaultRowHeight="13.8"/>
  <cols>
    <col min="1" max="1" width="19.59765625" customWidth="1"/>
    <col min="2" max="2" width="21.09765625" bestFit="1" customWidth="1"/>
    <col min="3" max="3" width="22.8984375" customWidth="1"/>
    <col min="4" max="4" width="14.296875" customWidth="1"/>
    <col min="5" max="5" width="15.59765625" customWidth="1"/>
    <col min="6" max="6" width="24" customWidth="1"/>
    <col min="7" max="7" width="18.3984375" customWidth="1"/>
    <col min="8" max="8" width="12.3984375" customWidth="1"/>
    <col min="9" max="9" width="17.8984375" customWidth="1"/>
    <col min="10" max="10" width="16.3984375" customWidth="1"/>
    <col min="11" max="11" width="20.8984375" customWidth="1"/>
    <col min="12" max="12" width="22" customWidth="1"/>
    <col min="13" max="13" width="14.3984375" customWidth="1"/>
    <col min="14" max="14" width="14.296875" customWidth="1"/>
    <col min="15" max="15" width="16.69921875" customWidth="1"/>
    <col min="16" max="16" width="16.296875" customWidth="1"/>
    <col min="17" max="17" width="11.8984375" customWidth="1"/>
    <col min="18" max="19" width="21.59765625" style="7" customWidth="1"/>
    <col min="20" max="20" width="20.8984375" style="1" customWidth="1"/>
    <col min="21" max="21" width="20.8984375" style="5" customWidth="1"/>
    <col min="22" max="22" width="8.69921875" customWidth="1"/>
    <col min="23" max="23" width="5.8984375" customWidth="1"/>
    <col min="24" max="26" width="9.09765625" customWidth="1"/>
    <col min="27" max="27" width="20.296875" customWidth="1"/>
    <col min="28" max="29" width="13.3984375" customWidth="1"/>
    <col min="30" max="30" width="28.3984375" customWidth="1"/>
    <col min="31" max="31" width="9.09765625" customWidth="1"/>
  </cols>
  <sheetData>
    <row r="1" spans="1:3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7" t="s">
        <v>17</v>
      </c>
      <c r="S1" s="7" t="s">
        <v>18</v>
      </c>
      <c r="T1" s="7" t="s">
        <v>19</v>
      </c>
      <c r="U1" s="5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t="s">
        <v>30</v>
      </c>
    </row>
    <row r="2" spans="1:31" ht="15">
      <c r="A2" t="s">
        <v>31</v>
      </c>
      <c r="B2" t="s">
        <v>32</v>
      </c>
      <c r="C2">
        <v>58</v>
      </c>
      <c r="D2">
        <v>10000</v>
      </c>
      <c r="E2">
        <v>2136</v>
      </c>
      <c r="F2">
        <v>2.47E-2</v>
      </c>
      <c r="G2">
        <v>0.28029999999999999</v>
      </c>
      <c r="H2">
        <v>0.02</v>
      </c>
      <c r="I2">
        <v>2.0000000000000002E-5</v>
      </c>
      <c r="J2">
        <v>0.35</v>
      </c>
      <c r="K2">
        <v>12</v>
      </c>
      <c r="L2">
        <v>0.75340353056285614</v>
      </c>
      <c r="M2">
        <f t="shared" ref="M2:M33" si="0">O2+N2</f>
        <v>0.95499999999999996</v>
      </c>
      <c r="N2">
        <v>1.2499999999999956E-2</v>
      </c>
      <c r="O2">
        <v>0.9425</v>
      </c>
      <c r="P2">
        <v>5.7499999999999996E-2</v>
      </c>
      <c r="Q2">
        <v>3.9100000000000003E-2</v>
      </c>
      <c r="R2" s="1">
        <v>0.12920518104065692</v>
      </c>
      <c r="S2" s="5">
        <v>2.5350000000000001E-2</v>
      </c>
      <c r="T2" s="7">
        <v>4.6046391483209308E-3</v>
      </c>
      <c r="U2" s="5">
        <v>0</v>
      </c>
      <c r="V2">
        <f t="shared" ref="V2:V33" si="1">U2*(500000000/12)</f>
        <v>0</v>
      </c>
      <c r="W2" t="s">
        <v>33</v>
      </c>
      <c r="X2" t="s">
        <v>34</v>
      </c>
      <c r="Y2" t="s">
        <v>35</v>
      </c>
      <c r="Z2" t="s">
        <v>36</v>
      </c>
      <c r="AA2">
        <v>3.211E-2</v>
      </c>
      <c r="AB2">
        <v>4.6966920000000016E-2</v>
      </c>
      <c r="AC2">
        <v>0.28000000000000003</v>
      </c>
      <c r="AD2">
        <v>1</v>
      </c>
      <c r="AE2">
        <v>1.2500000000000001E-2</v>
      </c>
    </row>
    <row r="3" spans="1:31" ht="15">
      <c r="A3" t="s">
        <v>37</v>
      </c>
      <c r="B3" t="s">
        <v>38</v>
      </c>
      <c r="C3">
        <v>58</v>
      </c>
      <c r="D3">
        <v>10000</v>
      </c>
      <c r="E3">
        <v>2022</v>
      </c>
      <c r="F3">
        <v>3.1199999999999999E-2</v>
      </c>
      <c r="G3">
        <v>0.23599999999999999</v>
      </c>
      <c r="H3">
        <v>0.02</v>
      </c>
      <c r="I3">
        <v>2.0000000000000002E-5</v>
      </c>
      <c r="J3">
        <v>0.35</v>
      </c>
      <c r="K3">
        <v>12</v>
      </c>
      <c r="L3">
        <v>0.75340353056285614</v>
      </c>
      <c r="M3">
        <f t="shared" si="0"/>
        <v>0.96749999999999992</v>
      </c>
      <c r="N3">
        <v>1.2499999999999956E-2</v>
      </c>
      <c r="O3">
        <v>0.95499999999999996</v>
      </c>
      <c r="P3">
        <v>4.500000000000004E-2</v>
      </c>
      <c r="Q3">
        <v>3.1199999999999999E-2</v>
      </c>
      <c r="R3" s="1">
        <v>0.10617215604022512</v>
      </c>
      <c r="S3" s="5">
        <v>3.5999999999999999E-3</v>
      </c>
      <c r="T3" s="7">
        <v>2.5506883618545339E-3</v>
      </c>
      <c r="U3" s="5">
        <v>0</v>
      </c>
      <c r="V3">
        <f t="shared" si="1"/>
        <v>0</v>
      </c>
      <c r="W3" t="s">
        <v>33</v>
      </c>
      <c r="X3" t="s">
        <v>34</v>
      </c>
      <c r="Y3" t="s">
        <v>35</v>
      </c>
      <c r="Z3" t="s">
        <v>36</v>
      </c>
      <c r="AA3">
        <v>4.0559999999999999E-2</v>
      </c>
      <c r="AB3">
        <v>4.6846800000000008E-2</v>
      </c>
      <c r="AC3">
        <v>0.27139999999999997</v>
      </c>
      <c r="AD3">
        <v>1</v>
      </c>
      <c r="AE3">
        <v>1.2500000000000001E-2</v>
      </c>
    </row>
    <row r="4" spans="1:31" ht="15">
      <c r="A4" t="s">
        <v>39</v>
      </c>
      <c r="B4" t="s">
        <v>40</v>
      </c>
      <c r="C4">
        <v>59</v>
      </c>
      <c r="D4">
        <v>10000</v>
      </c>
      <c r="E4">
        <v>2136</v>
      </c>
      <c r="F4">
        <v>1.8599999999999998E-2</v>
      </c>
      <c r="G4">
        <v>0.27050000000000002</v>
      </c>
      <c r="H4">
        <v>0.02</v>
      </c>
      <c r="I4">
        <v>2.0000000000000002E-5</v>
      </c>
      <c r="J4">
        <v>0.35</v>
      </c>
      <c r="K4">
        <v>18</v>
      </c>
      <c r="L4">
        <v>0.78556326466517168</v>
      </c>
      <c r="M4">
        <f t="shared" si="0"/>
        <v>0.95949999999999991</v>
      </c>
      <c r="N4">
        <v>1.2499999999999956E-2</v>
      </c>
      <c r="O4">
        <v>0.94699999999999995</v>
      </c>
      <c r="P4">
        <v>5.3000000000000047E-2</v>
      </c>
      <c r="Q4">
        <v>5.3100000000000001E-2</v>
      </c>
      <c r="R4" s="7">
        <v>9.6218475904263912E-2</v>
      </c>
      <c r="S4" s="5">
        <v>1.295E-2</v>
      </c>
      <c r="T4" s="7">
        <v>1.8253998014788872E-2</v>
      </c>
      <c r="U4" s="5">
        <v>0.05</v>
      </c>
      <c r="V4">
        <f t="shared" si="1"/>
        <v>2083333.3333333333</v>
      </c>
      <c r="W4" t="s">
        <v>33</v>
      </c>
      <c r="X4" t="s">
        <v>41</v>
      </c>
      <c r="Y4" t="s">
        <v>35</v>
      </c>
      <c r="Z4" t="s">
        <v>36</v>
      </c>
      <c r="AA4">
        <v>1.4999999999999999E-2</v>
      </c>
      <c r="AB4">
        <v>0.05</v>
      </c>
      <c r="AC4">
        <v>0.25</v>
      </c>
      <c r="AD4">
        <v>1</v>
      </c>
      <c r="AE4">
        <v>1.2500000000000001E-2</v>
      </c>
    </row>
    <row r="5" spans="1:31" ht="15">
      <c r="A5" t="s">
        <v>42</v>
      </c>
      <c r="B5" t="s">
        <v>43</v>
      </c>
      <c r="C5">
        <v>58</v>
      </c>
      <c r="D5">
        <v>10000</v>
      </c>
      <c r="E5">
        <v>2022</v>
      </c>
      <c r="F5">
        <v>1.5800000000000002E-2</v>
      </c>
      <c r="G5">
        <v>0.2591</v>
      </c>
      <c r="H5">
        <v>0.02</v>
      </c>
      <c r="I5">
        <v>2.0000000000000002E-5</v>
      </c>
      <c r="J5">
        <v>0.35</v>
      </c>
      <c r="K5">
        <v>18</v>
      </c>
      <c r="L5">
        <v>0.78556326466517168</v>
      </c>
      <c r="M5">
        <f t="shared" si="0"/>
        <v>0.9425</v>
      </c>
      <c r="N5">
        <v>1.2499999999999956E-2</v>
      </c>
      <c r="O5">
        <v>0.93</v>
      </c>
      <c r="P5">
        <v>6.9999999999999951E-2</v>
      </c>
      <c r="Q5">
        <v>4.3799999999999999E-2</v>
      </c>
      <c r="R5" s="1">
        <v>0.11215601364232874</v>
      </c>
      <c r="S5" s="5">
        <v>3.5E-4</v>
      </c>
      <c r="T5" s="7">
        <v>1.7767424304109415E-3</v>
      </c>
      <c r="U5" s="5">
        <v>0</v>
      </c>
      <c r="V5">
        <f t="shared" si="1"/>
        <v>0</v>
      </c>
      <c r="W5" t="s">
        <v>33</v>
      </c>
      <c r="X5" t="s">
        <v>41</v>
      </c>
      <c r="Y5" t="s">
        <v>35</v>
      </c>
      <c r="Z5" t="s">
        <v>36</v>
      </c>
      <c r="AA5">
        <v>2.0540000000000003E-2</v>
      </c>
      <c r="AB5">
        <v>5.5E-2</v>
      </c>
      <c r="AC5">
        <v>0.29796499999999998</v>
      </c>
      <c r="AD5">
        <v>1</v>
      </c>
      <c r="AE5">
        <v>1.2500000000000001E-2</v>
      </c>
    </row>
    <row r="6" spans="1:31" ht="15">
      <c r="A6" t="s">
        <v>44</v>
      </c>
      <c r="B6" t="s">
        <v>45</v>
      </c>
      <c r="C6">
        <v>59</v>
      </c>
      <c r="D6">
        <v>10000</v>
      </c>
      <c r="E6">
        <v>2136</v>
      </c>
      <c r="F6">
        <v>2.9100000000000001E-2</v>
      </c>
      <c r="G6">
        <v>0.1948</v>
      </c>
      <c r="H6">
        <v>0.02</v>
      </c>
      <c r="I6">
        <v>2.0000000000000002E-5</v>
      </c>
      <c r="J6">
        <v>0.35</v>
      </c>
      <c r="K6">
        <v>24</v>
      </c>
      <c r="L6">
        <v>0.81138876520965009</v>
      </c>
      <c r="M6">
        <f t="shared" si="0"/>
        <v>0.92919999999999991</v>
      </c>
      <c r="N6">
        <v>1.2499999999999956E-2</v>
      </c>
      <c r="O6">
        <v>0.91669999999999996</v>
      </c>
      <c r="P6">
        <v>8.3300000000000041E-2</v>
      </c>
      <c r="Q6">
        <v>1.23E-2</v>
      </c>
      <c r="R6" s="1">
        <v>0.10321129859987899</v>
      </c>
      <c r="S6" s="5">
        <v>1.2999999999999999E-3</v>
      </c>
      <c r="T6" s="7">
        <v>3.6548922195523523E-3</v>
      </c>
      <c r="U6" s="5">
        <v>0</v>
      </c>
      <c r="V6">
        <f t="shared" si="1"/>
        <v>0</v>
      </c>
      <c r="W6" t="s">
        <v>33</v>
      </c>
      <c r="X6" t="s">
        <v>46</v>
      </c>
      <c r="Y6" t="s">
        <v>35</v>
      </c>
      <c r="Z6" t="s">
        <v>36</v>
      </c>
      <c r="AA6">
        <v>2.8837280091824399E-2</v>
      </c>
      <c r="AB6">
        <v>2.2499999999999999E-2</v>
      </c>
      <c r="AC6">
        <v>0.2</v>
      </c>
      <c r="AD6">
        <v>1</v>
      </c>
      <c r="AE6">
        <v>1.2500000000000001E-2</v>
      </c>
    </row>
    <row r="7" spans="1:31" ht="15">
      <c r="A7" t="s">
        <v>47</v>
      </c>
      <c r="B7" t="s">
        <v>48</v>
      </c>
      <c r="C7">
        <v>58</v>
      </c>
      <c r="D7">
        <v>10000</v>
      </c>
      <c r="E7">
        <v>1931</v>
      </c>
      <c r="F7">
        <v>1.9900000000000001E-2</v>
      </c>
      <c r="G7">
        <v>0.16070000000000001</v>
      </c>
      <c r="H7">
        <v>0.02</v>
      </c>
      <c r="I7">
        <v>2.0000000000000002E-5</v>
      </c>
      <c r="J7">
        <v>0.35</v>
      </c>
      <c r="K7">
        <v>24</v>
      </c>
      <c r="L7">
        <v>0.81138876520965009</v>
      </c>
      <c r="M7">
        <f t="shared" si="0"/>
        <v>0.92249999999999999</v>
      </c>
      <c r="N7">
        <v>1.2499999999999956E-2</v>
      </c>
      <c r="O7">
        <v>0.91</v>
      </c>
      <c r="P7">
        <v>8.9999999999999969E-2</v>
      </c>
      <c r="Q7">
        <v>2.2599999999999999E-2</v>
      </c>
      <c r="R7" s="1">
        <v>0.10872926145106021</v>
      </c>
      <c r="S7" s="5">
        <v>4.0000000000000002E-4</v>
      </c>
      <c r="T7" s="7">
        <v>1.7522714574199937E-3</v>
      </c>
      <c r="U7" s="5">
        <v>0</v>
      </c>
      <c r="V7">
        <f t="shared" si="1"/>
        <v>0</v>
      </c>
      <c r="W7" t="s">
        <v>33</v>
      </c>
      <c r="X7" t="s">
        <v>46</v>
      </c>
      <c r="Y7" t="s">
        <v>35</v>
      </c>
      <c r="Z7" t="s">
        <v>36</v>
      </c>
      <c r="AA7">
        <v>2.5870000000000001E-2</v>
      </c>
      <c r="AB7">
        <v>3.3933900000000003E-2</v>
      </c>
      <c r="AC7">
        <v>0.184805</v>
      </c>
      <c r="AD7">
        <v>1</v>
      </c>
      <c r="AE7">
        <v>1.2500000000000001E-2</v>
      </c>
    </row>
    <row r="8" spans="1:31" ht="15">
      <c r="A8" t="s">
        <v>49</v>
      </c>
      <c r="B8" t="s">
        <v>50</v>
      </c>
      <c r="C8">
        <v>57</v>
      </c>
      <c r="D8">
        <v>10000</v>
      </c>
      <c r="E8">
        <v>2136</v>
      </c>
      <c r="F8">
        <v>6.0100000000000001E-2</v>
      </c>
      <c r="G8">
        <v>0.2243</v>
      </c>
      <c r="H8">
        <v>0.02</v>
      </c>
      <c r="I8">
        <v>2.0000000000000002E-5</v>
      </c>
      <c r="J8">
        <v>0.35</v>
      </c>
      <c r="K8">
        <v>6</v>
      </c>
      <c r="L8">
        <v>0.60178708556371641</v>
      </c>
      <c r="M8">
        <f t="shared" si="0"/>
        <v>0.97789999999999999</v>
      </c>
      <c r="N8">
        <v>1.2499999999999956E-2</v>
      </c>
      <c r="O8">
        <v>0.96540000000000004</v>
      </c>
      <c r="P8">
        <v>3.4599999999999964E-2</v>
      </c>
      <c r="Q8">
        <v>2.1299999999999999E-2</v>
      </c>
      <c r="R8" s="1">
        <v>0.14802475840921048</v>
      </c>
      <c r="S8" s="5">
        <v>3.3E-3</v>
      </c>
      <c r="T8" s="7">
        <v>7.1057311178794455E-3</v>
      </c>
      <c r="U8" s="5">
        <v>0</v>
      </c>
      <c r="V8">
        <f t="shared" si="1"/>
        <v>0</v>
      </c>
      <c r="W8" t="s">
        <v>33</v>
      </c>
      <c r="X8" t="s">
        <v>51</v>
      </c>
      <c r="Y8" t="s">
        <v>35</v>
      </c>
      <c r="Z8" t="s">
        <v>36</v>
      </c>
      <c r="AA8">
        <v>7.2599999999999998E-2</v>
      </c>
      <c r="AB8">
        <v>6.5000000000000002E-2</v>
      </c>
      <c r="AC8">
        <v>0.22</v>
      </c>
      <c r="AD8">
        <v>1</v>
      </c>
      <c r="AE8">
        <v>1.2500000000000001E-2</v>
      </c>
    </row>
    <row r="9" spans="1:31" ht="15">
      <c r="A9" t="s">
        <v>52</v>
      </c>
      <c r="B9" t="s">
        <v>53</v>
      </c>
      <c r="C9">
        <v>85</v>
      </c>
      <c r="D9">
        <v>10000</v>
      </c>
      <c r="E9">
        <v>2145</v>
      </c>
      <c r="F9">
        <v>1.55E-2</v>
      </c>
      <c r="G9">
        <v>0.40749999999999997</v>
      </c>
      <c r="H9">
        <v>0.02</v>
      </c>
      <c r="I9">
        <v>2.0000000000000002E-5</v>
      </c>
      <c r="J9">
        <v>0.35</v>
      </c>
      <c r="K9">
        <v>10</v>
      </c>
      <c r="L9">
        <v>0.77029999999999998</v>
      </c>
      <c r="M9">
        <f t="shared" si="0"/>
        <v>0.95789999999999997</v>
      </c>
      <c r="N9">
        <v>1.2499999999999956E-2</v>
      </c>
      <c r="O9">
        <v>0.94540000000000002</v>
      </c>
      <c r="P9">
        <v>5.4599999999999982E-2</v>
      </c>
      <c r="Q9">
        <v>4.9000000000000002E-2</v>
      </c>
      <c r="R9" s="1">
        <v>7.7643508444963594E-2</v>
      </c>
      <c r="S9" s="5">
        <v>0.15834999999999999</v>
      </c>
      <c r="T9" s="7">
        <v>0.16519106001391856</v>
      </c>
      <c r="U9" s="5">
        <v>0</v>
      </c>
      <c r="V9">
        <f t="shared" si="1"/>
        <v>0</v>
      </c>
      <c r="W9" t="s">
        <v>33</v>
      </c>
      <c r="X9" t="s">
        <v>54</v>
      </c>
      <c r="Y9" t="s">
        <v>35</v>
      </c>
      <c r="Z9" t="s">
        <v>55</v>
      </c>
      <c r="AA9">
        <v>2.6599999999999999E-2</v>
      </c>
      <c r="AB9">
        <v>4.9000000000000002E-2</v>
      </c>
      <c r="AC9">
        <v>0.4</v>
      </c>
      <c r="AD9">
        <v>1</v>
      </c>
      <c r="AE9">
        <v>1.2500000000000001E-2</v>
      </c>
    </row>
    <row r="10" spans="1:31" ht="15">
      <c r="A10" t="s">
        <v>56</v>
      </c>
      <c r="B10" t="s">
        <v>57</v>
      </c>
      <c r="C10">
        <v>92</v>
      </c>
      <c r="D10">
        <v>10000</v>
      </c>
      <c r="E10">
        <v>2145</v>
      </c>
      <c r="F10">
        <v>1.3299999999999999E-2</v>
      </c>
      <c r="G10">
        <v>0.33600000000000002</v>
      </c>
      <c r="H10">
        <v>0.02</v>
      </c>
      <c r="I10">
        <v>2.0000000000000002E-5</v>
      </c>
      <c r="J10">
        <v>0.35</v>
      </c>
      <c r="K10">
        <v>14</v>
      </c>
      <c r="L10">
        <v>0.7754000000000002</v>
      </c>
      <c r="M10">
        <f t="shared" si="0"/>
        <v>0.93829999999999991</v>
      </c>
      <c r="N10">
        <v>1.2499999999999956E-2</v>
      </c>
      <c r="O10">
        <v>0.92579999999999996</v>
      </c>
      <c r="P10">
        <v>7.4200000000000044E-2</v>
      </c>
      <c r="Q10">
        <v>6.4699999999999994E-2</v>
      </c>
      <c r="R10" s="7">
        <v>7.5389505301456161E-2</v>
      </c>
      <c r="S10" s="5">
        <v>3.5299999999999998E-2</v>
      </c>
      <c r="T10" s="7">
        <v>4.278103302366449E-2</v>
      </c>
      <c r="U10" s="5">
        <v>0.08</v>
      </c>
      <c r="V10">
        <f t="shared" si="1"/>
        <v>3333333.333333333</v>
      </c>
      <c r="W10" t="s">
        <v>33</v>
      </c>
      <c r="X10" t="s">
        <v>58</v>
      </c>
      <c r="Y10" t="s">
        <v>35</v>
      </c>
      <c r="Z10" t="s">
        <v>55</v>
      </c>
      <c r="AA10">
        <v>2.7699999999999999E-2</v>
      </c>
      <c r="AB10">
        <v>6.4699999999999994E-2</v>
      </c>
      <c r="AC10">
        <v>0.35</v>
      </c>
      <c r="AD10">
        <v>1</v>
      </c>
      <c r="AE10">
        <v>1.2500000000000001E-2</v>
      </c>
    </row>
    <row r="11" spans="1:31" ht="15">
      <c r="A11" t="s">
        <v>59</v>
      </c>
      <c r="B11" t="s">
        <v>60</v>
      </c>
      <c r="C11">
        <v>99</v>
      </c>
      <c r="D11">
        <v>10000</v>
      </c>
      <c r="E11">
        <v>2145</v>
      </c>
      <c r="F11">
        <v>1.14E-2</v>
      </c>
      <c r="G11">
        <v>0.33650000000000002</v>
      </c>
      <c r="H11">
        <v>0.02</v>
      </c>
      <c r="I11">
        <v>2.0000000000000002E-5</v>
      </c>
      <c r="J11">
        <v>0.35</v>
      </c>
      <c r="K11">
        <v>20</v>
      </c>
      <c r="L11">
        <v>0.78029999999999999</v>
      </c>
      <c r="M11">
        <f t="shared" si="0"/>
        <v>0.89729999999999999</v>
      </c>
      <c r="N11">
        <v>1.2499999999999956E-2</v>
      </c>
      <c r="O11">
        <v>0.88480000000000003</v>
      </c>
      <c r="P11">
        <v>0.11519999999999997</v>
      </c>
      <c r="Q11">
        <v>7.2599999999999998E-2</v>
      </c>
      <c r="R11" s="1">
        <v>8.2151174632150159E-2</v>
      </c>
      <c r="S11" s="5">
        <v>6.6E-3</v>
      </c>
      <c r="T11" s="7">
        <v>1.1901400675684284E-2</v>
      </c>
      <c r="U11" s="5">
        <v>0</v>
      </c>
      <c r="V11">
        <f t="shared" si="1"/>
        <v>0</v>
      </c>
      <c r="W11" t="s">
        <v>33</v>
      </c>
      <c r="X11" t="s">
        <v>61</v>
      </c>
      <c r="Y11" t="s">
        <v>35</v>
      </c>
      <c r="Z11" t="s">
        <v>55</v>
      </c>
      <c r="AA11">
        <v>2.5700000000000001E-2</v>
      </c>
      <c r="AB11">
        <v>7.2599999999999998E-2</v>
      </c>
      <c r="AC11">
        <v>0.33650000000000002</v>
      </c>
      <c r="AD11">
        <v>1</v>
      </c>
      <c r="AE11">
        <v>1.2500000000000001E-2</v>
      </c>
    </row>
    <row r="12" spans="1:31" ht="15">
      <c r="A12" t="s">
        <v>62</v>
      </c>
      <c r="B12" t="s">
        <v>63</v>
      </c>
      <c r="C12">
        <v>96</v>
      </c>
      <c r="D12">
        <v>10000</v>
      </c>
      <c r="E12">
        <v>2399</v>
      </c>
      <c r="F12">
        <v>5.1999999999999998E-3</v>
      </c>
      <c r="G12">
        <v>0.5</v>
      </c>
      <c r="H12">
        <v>0.02</v>
      </c>
      <c r="I12">
        <v>2.0000000000000002E-5</v>
      </c>
      <c r="J12">
        <v>0.35</v>
      </c>
      <c r="K12">
        <v>24</v>
      </c>
      <c r="L12">
        <v>0.88360000000000005</v>
      </c>
      <c r="M12">
        <f t="shared" si="0"/>
        <v>0.89889999999999992</v>
      </c>
      <c r="N12">
        <v>1.2499999999999956E-2</v>
      </c>
      <c r="O12">
        <v>0.88639999999999997</v>
      </c>
      <c r="P12">
        <v>0.11360000000000003</v>
      </c>
      <c r="Q12">
        <v>5.1999999999999998E-3</v>
      </c>
      <c r="R12" s="1">
        <v>7.1474240849051185E-2</v>
      </c>
      <c r="S12" s="5">
        <v>1.35E-2</v>
      </c>
      <c r="T12" s="7">
        <v>1.4816137385276045E-2</v>
      </c>
      <c r="U12" s="5">
        <v>0</v>
      </c>
      <c r="V12">
        <f t="shared" si="1"/>
        <v>0</v>
      </c>
      <c r="W12" t="s">
        <v>33</v>
      </c>
      <c r="X12" t="s">
        <v>64</v>
      </c>
      <c r="Y12" t="s">
        <v>35</v>
      </c>
      <c r="Z12" t="s">
        <v>55</v>
      </c>
      <c r="AA12">
        <v>6.7599999999999995E-3</v>
      </c>
      <c r="AB12">
        <v>1.0395000000000001E-2</v>
      </c>
      <c r="AC12">
        <v>0.5</v>
      </c>
      <c r="AD12">
        <v>1</v>
      </c>
      <c r="AE12">
        <v>1.2500000000000001E-2</v>
      </c>
    </row>
    <row r="13" spans="1:31" ht="15">
      <c r="A13" t="s">
        <v>65</v>
      </c>
      <c r="B13" t="s">
        <v>66</v>
      </c>
      <c r="C13">
        <v>120</v>
      </c>
      <c r="D13">
        <v>10000</v>
      </c>
      <c r="E13">
        <v>1090</v>
      </c>
      <c r="F13">
        <v>0</v>
      </c>
      <c r="G13">
        <v>0.16959518501146009</v>
      </c>
      <c r="H13">
        <v>0.02</v>
      </c>
      <c r="I13">
        <v>2.0000000000000002E-5</v>
      </c>
      <c r="J13">
        <v>0.35</v>
      </c>
      <c r="K13">
        <v>0</v>
      </c>
      <c r="M13">
        <f t="shared" si="0"/>
        <v>1.0072000000000001</v>
      </c>
      <c r="N13">
        <v>1.2499999999999956E-2</v>
      </c>
      <c r="O13">
        <v>0.99470000000000003</v>
      </c>
      <c r="P13">
        <v>5.2999999999999714E-3</v>
      </c>
      <c r="Q13">
        <v>1.66E-2</v>
      </c>
      <c r="R13" s="1">
        <v>7.43568173514495E-2</v>
      </c>
      <c r="S13" s="5">
        <v>8.4499999999999992E-3</v>
      </c>
      <c r="T13" s="7">
        <v>1.7188328127039559E-2</v>
      </c>
      <c r="U13" s="5">
        <v>0</v>
      </c>
      <c r="V13">
        <f t="shared" si="1"/>
        <v>0</v>
      </c>
      <c r="W13" t="s">
        <v>33</v>
      </c>
      <c r="X13">
        <v>0</v>
      </c>
      <c r="Y13" t="s">
        <v>35</v>
      </c>
      <c r="Z13" t="s">
        <v>67</v>
      </c>
      <c r="AA13">
        <v>0</v>
      </c>
      <c r="AB13">
        <v>2.03675E-2</v>
      </c>
      <c r="AC13">
        <v>0.18</v>
      </c>
      <c r="AD13">
        <v>1</v>
      </c>
      <c r="AE13">
        <v>1.2500000000000001E-2</v>
      </c>
    </row>
    <row r="14" spans="1:31" ht="15">
      <c r="A14" t="s">
        <v>68</v>
      </c>
      <c r="B14" t="s">
        <v>69</v>
      </c>
      <c r="C14">
        <v>123</v>
      </c>
      <c r="D14">
        <v>10000</v>
      </c>
      <c r="E14">
        <v>1090</v>
      </c>
      <c r="F14">
        <v>1.66E-2</v>
      </c>
      <c r="G14">
        <v>0.1696</v>
      </c>
      <c r="H14">
        <v>0.02</v>
      </c>
      <c r="I14">
        <v>2.0000000000000002E-5</v>
      </c>
      <c r="J14">
        <v>0.35</v>
      </c>
      <c r="K14">
        <v>3</v>
      </c>
      <c r="L14">
        <v>0.13000000000000003</v>
      </c>
      <c r="M14">
        <f t="shared" si="0"/>
        <v>0.96119999999999994</v>
      </c>
      <c r="N14">
        <v>1.2499999999999956E-2</v>
      </c>
      <c r="O14">
        <v>0.94869999999999999</v>
      </c>
      <c r="P14">
        <v>5.1300000000000012E-2</v>
      </c>
      <c r="Q14">
        <v>1.66E-2</v>
      </c>
      <c r="R14" s="1">
        <v>8.2257608920927261E-2</v>
      </c>
      <c r="S14" s="5">
        <v>1.5E-3</v>
      </c>
      <c r="T14" s="7">
        <v>2.14656491333475E-3</v>
      </c>
      <c r="U14" s="5">
        <v>0</v>
      </c>
      <c r="V14">
        <f t="shared" si="1"/>
        <v>0</v>
      </c>
      <c r="W14" t="s">
        <v>33</v>
      </c>
      <c r="X14" t="s">
        <v>70</v>
      </c>
      <c r="Y14" t="s">
        <v>35</v>
      </c>
      <c r="Z14" t="s">
        <v>71</v>
      </c>
      <c r="AA14">
        <v>2.5314139015718783E-2</v>
      </c>
      <c r="AB14">
        <v>3.5000000000000003E-2</v>
      </c>
      <c r="AC14">
        <v>0.2</v>
      </c>
      <c r="AD14">
        <v>1</v>
      </c>
      <c r="AE14">
        <v>1.2500000000000001E-2</v>
      </c>
    </row>
    <row r="15" spans="1:31" ht="15">
      <c r="A15" t="s">
        <v>72</v>
      </c>
      <c r="B15" t="s">
        <v>73</v>
      </c>
      <c r="C15">
        <v>180</v>
      </c>
      <c r="D15">
        <v>10000</v>
      </c>
      <c r="E15">
        <v>1090</v>
      </c>
      <c r="F15">
        <v>0</v>
      </c>
      <c r="G15">
        <v>0.15068525075229278</v>
      </c>
      <c r="H15">
        <v>0.02</v>
      </c>
      <c r="I15">
        <v>2.0000000000000002E-5</v>
      </c>
      <c r="J15">
        <v>0.35</v>
      </c>
      <c r="K15">
        <v>0</v>
      </c>
      <c r="M15">
        <f t="shared" si="0"/>
        <v>0.98580000000000001</v>
      </c>
      <c r="N15">
        <v>1.2499999999999956E-2</v>
      </c>
      <c r="O15">
        <v>0.97330000000000005</v>
      </c>
      <c r="P15">
        <v>2.6699999999999946E-2</v>
      </c>
      <c r="Q15">
        <v>2.7799999999999998E-2</v>
      </c>
      <c r="R15" s="1">
        <v>7.3322539883229787E-2</v>
      </c>
      <c r="S15" s="5">
        <v>3.245E-2</v>
      </c>
      <c r="T15" s="7">
        <v>7.8515045127818157E-3</v>
      </c>
      <c r="U15" s="5">
        <v>0</v>
      </c>
      <c r="V15">
        <f t="shared" si="1"/>
        <v>0</v>
      </c>
      <c r="W15" t="s">
        <v>33</v>
      </c>
      <c r="X15">
        <v>0</v>
      </c>
      <c r="Y15" t="s">
        <v>35</v>
      </c>
      <c r="Z15" t="s">
        <v>67</v>
      </c>
      <c r="AA15">
        <v>0</v>
      </c>
      <c r="AB15">
        <v>0.03</v>
      </c>
      <c r="AC15">
        <v>0.15</v>
      </c>
      <c r="AD15">
        <v>1</v>
      </c>
      <c r="AE15">
        <v>1.2500000000000001E-2</v>
      </c>
    </row>
    <row r="16" spans="1:31" ht="15">
      <c r="A16" t="s">
        <v>74</v>
      </c>
      <c r="B16" t="s">
        <v>75</v>
      </c>
      <c r="C16">
        <v>120</v>
      </c>
      <c r="D16">
        <v>10000</v>
      </c>
      <c r="E16">
        <v>1190</v>
      </c>
      <c r="F16">
        <v>0</v>
      </c>
      <c r="G16">
        <v>0.14100858936076249</v>
      </c>
      <c r="H16">
        <v>0.02</v>
      </c>
      <c r="I16">
        <v>2.0000000000000002E-5</v>
      </c>
      <c r="J16">
        <v>0.35</v>
      </c>
      <c r="K16">
        <v>0</v>
      </c>
      <c r="M16">
        <f t="shared" si="0"/>
        <v>1.0015999999999998</v>
      </c>
      <c r="N16">
        <v>1.2499999999999956E-2</v>
      </c>
      <c r="O16">
        <v>0.98909999999999998</v>
      </c>
      <c r="P16">
        <v>1.0900000000000021E-2</v>
      </c>
      <c r="Q16">
        <v>2.98E-2</v>
      </c>
      <c r="R16" s="1">
        <v>7.677732013539984E-2</v>
      </c>
      <c r="S16" s="5">
        <v>9.5E-4</v>
      </c>
      <c r="T16" s="7">
        <v>4.2416242368533232E-4</v>
      </c>
      <c r="U16" s="5">
        <v>0</v>
      </c>
      <c r="V16">
        <f t="shared" si="1"/>
        <v>0</v>
      </c>
      <c r="W16" t="s">
        <v>33</v>
      </c>
      <c r="X16">
        <v>0</v>
      </c>
      <c r="Y16" t="s">
        <v>35</v>
      </c>
      <c r="Z16" t="s">
        <v>67</v>
      </c>
      <c r="AA16">
        <v>0</v>
      </c>
      <c r="AB16">
        <v>4.5276000000000004E-2</v>
      </c>
      <c r="AC16">
        <v>0.15</v>
      </c>
      <c r="AD16">
        <v>1</v>
      </c>
      <c r="AE16">
        <v>1.2500000000000001E-2</v>
      </c>
    </row>
    <row r="17" spans="1:31" ht="15">
      <c r="A17" t="s">
        <v>76</v>
      </c>
      <c r="B17" t="s">
        <v>77</v>
      </c>
      <c r="C17">
        <v>123</v>
      </c>
      <c r="D17">
        <v>10000</v>
      </c>
      <c r="E17">
        <v>1190</v>
      </c>
      <c r="F17">
        <v>2.98E-2</v>
      </c>
      <c r="G17">
        <v>0.14099999999999999</v>
      </c>
      <c r="H17">
        <v>0.02</v>
      </c>
      <c r="I17">
        <v>2.0000000000000002E-5</v>
      </c>
      <c r="J17">
        <v>0.35</v>
      </c>
      <c r="K17">
        <v>3</v>
      </c>
      <c r="L17">
        <v>0.13000000000000003</v>
      </c>
      <c r="M17">
        <f t="shared" si="0"/>
        <v>0.95989999999999998</v>
      </c>
      <c r="N17">
        <v>1.2499999999999956E-2</v>
      </c>
      <c r="O17">
        <v>0.94740000000000002</v>
      </c>
      <c r="P17">
        <v>5.259999999999998E-2</v>
      </c>
      <c r="Q17">
        <v>2.98E-2</v>
      </c>
      <c r="R17" s="1">
        <v>8.1911141655649722E-2</v>
      </c>
      <c r="S17" s="5">
        <v>4.0000000000000002E-4</v>
      </c>
      <c r="T17" s="7">
        <v>5.8221025869663919E-4</v>
      </c>
      <c r="U17" s="5">
        <v>0</v>
      </c>
      <c r="V17">
        <f t="shared" si="1"/>
        <v>0</v>
      </c>
      <c r="W17" t="s">
        <v>33</v>
      </c>
      <c r="X17" t="s">
        <v>70</v>
      </c>
      <c r="Y17" t="s">
        <v>35</v>
      </c>
      <c r="Z17" t="s">
        <v>71</v>
      </c>
      <c r="AA17">
        <v>3.9E-2</v>
      </c>
      <c r="AB17">
        <v>4.6200000000000005E-2</v>
      </c>
      <c r="AC17">
        <v>0.2</v>
      </c>
      <c r="AD17">
        <v>1</v>
      </c>
      <c r="AE17">
        <v>1.2500000000000001E-2</v>
      </c>
    </row>
    <row r="18" spans="1:31" ht="15">
      <c r="A18" t="s">
        <v>78</v>
      </c>
      <c r="B18" t="s">
        <v>79</v>
      </c>
      <c r="C18">
        <v>126</v>
      </c>
      <c r="D18">
        <v>10000</v>
      </c>
      <c r="E18">
        <v>1190</v>
      </c>
      <c r="F18">
        <v>1.8599999999999998E-2</v>
      </c>
      <c r="G18">
        <v>0.316</v>
      </c>
      <c r="H18">
        <v>0.02</v>
      </c>
      <c r="I18">
        <v>2.0000000000000002E-5</v>
      </c>
      <c r="J18">
        <v>0.35</v>
      </c>
      <c r="K18">
        <v>6</v>
      </c>
      <c r="L18">
        <v>0.25257766393989078</v>
      </c>
      <c r="M18">
        <f t="shared" si="0"/>
        <v>0.96249999999999991</v>
      </c>
      <c r="N18">
        <v>1.2499999999999956E-2</v>
      </c>
      <c r="O18">
        <v>0.95</v>
      </c>
      <c r="P18">
        <v>5.0000000000000044E-2</v>
      </c>
      <c r="Q18">
        <v>1.8599999999999998E-2</v>
      </c>
      <c r="R18" s="1">
        <v>7.6594127745907237E-2</v>
      </c>
      <c r="S18" s="5">
        <v>2.9999999999999997E-4</v>
      </c>
      <c r="T18" s="7">
        <v>5.6007876505501802E-4</v>
      </c>
      <c r="U18" s="5">
        <v>0</v>
      </c>
      <c r="V18">
        <f t="shared" si="1"/>
        <v>0</v>
      </c>
      <c r="W18" t="s">
        <v>33</v>
      </c>
      <c r="X18" t="s">
        <v>80</v>
      </c>
      <c r="Y18" t="s">
        <v>35</v>
      </c>
      <c r="Z18" t="s">
        <v>71</v>
      </c>
      <c r="AA18">
        <v>2.4141870816489958E-2</v>
      </c>
      <c r="AB18">
        <v>2.7883860793045907E-2</v>
      </c>
      <c r="AC18">
        <v>0.3634</v>
      </c>
      <c r="AD18">
        <v>1</v>
      </c>
      <c r="AE18">
        <v>1.2500000000000001E-2</v>
      </c>
    </row>
    <row r="19" spans="1:31" ht="15">
      <c r="A19" t="s">
        <v>81</v>
      </c>
      <c r="B19" t="s">
        <v>82</v>
      </c>
      <c r="C19">
        <v>144</v>
      </c>
      <c r="D19">
        <v>10000</v>
      </c>
      <c r="E19">
        <v>1190</v>
      </c>
      <c r="F19">
        <v>0</v>
      </c>
      <c r="G19">
        <v>9.7000000000000003E-2</v>
      </c>
      <c r="H19">
        <v>0.02</v>
      </c>
      <c r="I19">
        <v>2.0000000000000002E-5</v>
      </c>
      <c r="J19">
        <v>0.35</v>
      </c>
      <c r="K19">
        <v>0</v>
      </c>
      <c r="M19">
        <f t="shared" si="0"/>
        <v>0.9304</v>
      </c>
      <c r="N19">
        <v>1.2499999999999956E-2</v>
      </c>
      <c r="O19">
        <v>0.91790000000000005</v>
      </c>
      <c r="P19">
        <v>8.2099999999999951E-2</v>
      </c>
      <c r="Q19">
        <v>2.81E-2</v>
      </c>
      <c r="R19" s="1">
        <v>9.9398968766931439E-2</v>
      </c>
      <c r="S19" s="5">
        <v>1.4999999999999999E-4</v>
      </c>
      <c r="T19" s="7">
        <v>6.1251045814589744E-4</v>
      </c>
      <c r="U19" s="5">
        <v>0</v>
      </c>
      <c r="V19">
        <f t="shared" si="1"/>
        <v>0</v>
      </c>
      <c r="W19" t="s">
        <v>33</v>
      </c>
      <c r="X19">
        <v>0</v>
      </c>
      <c r="Y19" t="s">
        <v>35</v>
      </c>
      <c r="Z19" t="s">
        <v>67</v>
      </c>
      <c r="AA19">
        <v>0</v>
      </c>
      <c r="AB19">
        <v>0.05</v>
      </c>
      <c r="AC19">
        <v>0.15</v>
      </c>
      <c r="AD19">
        <v>1</v>
      </c>
      <c r="AE19">
        <v>1.2500000000000001E-2</v>
      </c>
    </row>
    <row r="20" spans="1:31" ht="15">
      <c r="A20" t="s">
        <v>83</v>
      </c>
      <c r="B20" t="s">
        <v>84</v>
      </c>
      <c r="C20">
        <v>180</v>
      </c>
      <c r="D20">
        <v>10000</v>
      </c>
      <c r="E20">
        <v>1190</v>
      </c>
      <c r="F20">
        <v>0</v>
      </c>
      <c r="G20">
        <v>0.11761019723970799</v>
      </c>
      <c r="H20">
        <v>0.02</v>
      </c>
      <c r="I20">
        <v>2.0000000000000002E-5</v>
      </c>
      <c r="J20">
        <v>0.35</v>
      </c>
      <c r="K20">
        <v>0</v>
      </c>
      <c r="M20">
        <f t="shared" si="0"/>
        <v>0.98059999999999992</v>
      </c>
      <c r="N20">
        <v>1.2499999999999956E-2</v>
      </c>
      <c r="O20">
        <v>0.96809999999999996</v>
      </c>
      <c r="P20">
        <v>3.1900000000000039E-2</v>
      </c>
      <c r="Q20">
        <v>4.1700000000000001E-2</v>
      </c>
      <c r="R20" s="7">
        <v>7.4194454453272662E-2</v>
      </c>
      <c r="S20" s="5">
        <v>1.8500000000000001E-3</v>
      </c>
      <c r="T20" s="7">
        <v>8.8010681205944775E-4</v>
      </c>
      <c r="U20" s="5">
        <v>7.0000000000000007E-2</v>
      </c>
      <c r="V20">
        <f t="shared" si="1"/>
        <v>2916666.666666667</v>
      </c>
      <c r="W20" t="s">
        <v>33</v>
      </c>
      <c r="X20">
        <v>0</v>
      </c>
      <c r="Y20" t="s">
        <v>35</v>
      </c>
      <c r="Z20" t="s">
        <v>67</v>
      </c>
      <c r="AA20">
        <v>0</v>
      </c>
      <c r="AB20">
        <v>4.2500000000000003E-2</v>
      </c>
      <c r="AC20">
        <v>0.13851437846801901</v>
      </c>
      <c r="AD20">
        <v>1</v>
      </c>
      <c r="AE20">
        <v>1.2500000000000001E-2</v>
      </c>
    </row>
    <row r="21" spans="1:31" ht="15">
      <c r="A21" t="s">
        <v>85</v>
      </c>
      <c r="B21" t="s">
        <v>86</v>
      </c>
      <c r="C21">
        <v>60</v>
      </c>
      <c r="D21">
        <v>10000</v>
      </c>
      <c r="E21">
        <v>1190</v>
      </c>
      <c r="F21">
        <v>0</v>
      </c>
      <c r="G21">
        <v>0.14299999999999999</v>
      </c>
      <c r="H21">
        <v>0.02</v>
      </c>
      <c r="I21">
        <v>2.0000000000000002E-5</v>
      </c>
      <c r="J21">
        <v>0.35</v>
      </c>
      <c r="K21">
        <v>0</v>
      </c>
      <c r="M21">
        <f t="shared" si="0"/>
        <v>0.96089999999999998</v>
      </c>
      <c r="N21">
        <v>1.2499999999999956E-2</v>
      </c>
      <c r="O21">
        <v>0.94840000000000002</v>
      </c>
      <c r="P21">
        <v>5.1599999999999979E-2</v>
      </c>
      <c r="Q21">
        <v>1.9E-2</v>
      </c>
      <c r="R21" s="1">
        <v>0.10659977466513748</v>
      </c>
      <c r="S21" s="5">
        <v>1E-4</v>
      </c>
      <c r="T21" s="7">
        <v>9.5317398580973569E-4</v>
      </c>
      <c r="U21" s="5">
        <v>0</v>
      </c>
      <c r="V21">
        <f t="shared" si="1"/>
        <v>0</v>
      </c>
      <c r="W21" t="s">
        <v>33</v>
      </c>
      <c r="X21">
        <v>0</v>
      </c>
      <c r="Y21" t="s">
        <v>35</v>
      </c>
      <c r="Z21" t="s">
        <v>67</v>
      </c>
      <c r="AA21">
        <v>0</v>
      </c>
      <c r="AB21">
        <v>3.2500000000000001E-2</v>
      </c>
      <c r="AC21">
        <v>0.15</v>
      </c>
      <c r="AD21">
        <v>1</v>
      </c>
      <c r="AE21">
        <v>1.2500000000000001E-2</v>
      </c>
    </row>
    <row r="22" spans="1:31" ht="15">
      <c r="A22" t="s">
        <v>87</v>
      </c>
      <c r="B22" t="s">
        <v>88</v>
      </c>
      <c r="C22">
        <v>180</v>
      </c>
      <c r="D22">
        <v>10000</v>
      </c>
      <c r="E22">
        <v>1195</v>
      </c>
      <c r="F22">
        <v>0</v>
      </c>
      <c r="G22">
        <v>0.2</v>
      </c>
      <c r="H22">
        <v>0.02</v>
      </c>
      <c r="I22">
        <v>2.0000000000000002E-5</v>
      </c>
      <c r="J22">
        <v>0.35</v>
      </c>
      <c r="K22">
        <v>0</v>
      </c>
      <c r="M22">
        <f t="shared" si="0"/>
        <v>1.0125</v>
      </c>
      <c r="N22">
        <v>1.2499999999999956E-2</v>
      </c>
      <c r="O22">
        <v>1</v>
      </c>
      <c r="P22">
        <v>0</v>
      </c>
      <c r="Q22">
        <v>3.0965949600000001E-2</v>
      </c>
      <c r="R22" s="1">
        <v>7.2519507114646942E-2</v>
      </c>
      <c r="S22" s="5">
        <v>2.9499999999999999E-3</v>
      </c>
      <c r="T22" s="7">
        <v>6.8061466819328961E-4</v>
      </c>
      <c r="U22" s="5">
        <v>0</v>
      </c>
      <c r="V22">
        <f t="shared" si="1"/>
        <v>0</v>
      </c>
      <c r="W22" t="s">
        <v>33</v>
      </c>
      <c r="X22">
        <v>0</v>
      </c>
      <c r="Y22" t="s">
        <v>35</v>
      </c>
      <c r="Z22" t="s">
        <v>67</v>
      </c>
      <c r="AA22">
        <v>0</v>
      </c>
      <c r="AB22">
        <v>4.9153733244000013E-2</v>
      </c>
      <c r="AC22">
        <v>0.22999999999999998</v>
      </c>
      <c r="AD22">
        <v>1</v>
      </c>
      <c r="AE22">
        <v>1.2500000000000001E-2</v>
      </c>
    </row>
    <row r="23" spans="1:31" ht="15">
      <c r="A23" t="s">
        <v>89</v>
      </c>
      <c r="B23" t="s">
        <v>90</v>
      </c>
      <c r="C23">
        <v>120</v>
      </c>
      <c r="D23">
        <v>10000</v>
      </c>
      <c r="E23">
        <v>1290</v>
      </c>
      <c r="F23">
        <v>0</v>
      </c>
      <c r="G23">
        <v>0.13575087101908936</v>
      </c>
      <c r="H23">
        <v>0.02</v>
      </c>
      <c r="I23">
        <v>2.0000000000000002E-5</v>
      </c>
      <c r="J23">
        <v>0.35</v>
      </c>
      <c r="K23">
        <v>0</v>
      </c>
      <c r="M23">
        <f t="shared" si="0"/>
        <v>1.0097999999999998</v>
      </c>
      <c r="N23">
        <v>1.2499999999999956E-2</v>
      </c>
      <c r="O23">
        <v>0.99729999999999996</v>
      </c>
      <c r="P23">
        <v>2.7000000000000357E-3</v>
      </c>
      <c r="Q23">
        <v>3.3300000000000003E-2</v>
      </c>
      <c r="R23" s="7">
        <v>8.1152152209306827E-2</v>
      </c>
      <c r="S23" s="5">
        <v>8.5000000000000006E-3</v>
      </c>
      <c r="T23" s="7">
        <v>3.8510223710689602E-3</v>
      </c>
      <c r="U23" s="5">
        <v>0.03</v>
      </c>
      <c r="V23">
        <f t="shared" si="1"/>
        <v>1249999.9999999998</v>
      </c>
      <c r="W23" t="s">
        <v>33</v>
      </c>
      <c r="X23">
        <v>0</v>
      </c>
      <c r="Y23" t="s">
        <v>35</v>
      </c>
      <c r="Z23" t="s">
        <v>67</v>
      </c>
      <c r="AA23">
        <v>0</v>
      </c>
      <c r="AB23">
        <v>4.6547999999999999E-2</v>
      </c>
      <c r="AC23">
        <v>0.15</v>
      </c>
      <c r="AD23">
        <v>1</v>
      </c>
      <c r="AE23">
        <v>1.2500000000000001E-2</v>
      </c>
    </row>
    <row r="24" spans="1:31" ht="15">
      <c r="A24" t="s">
        <v>91</v>
      </c>
      <c r="B24" t="s">
        <v>92</v>
      </c>
      <c r="C24">
        <v>123</v>
      </c>
      <c r="D24">
        <v>10000</v>
      </c>
      <c r="E24">
        <v>1290</v>
      </c>
      <c r="F24">
        <v>3.3300000000000003E-2</v>
      </c>
      <c r="G24">
        <v>0.1358</v>
      </c>
      <c r="H24">
        <v>0.02</v>
      </c>
      <c r="I24">
        <v>2.0000000000000002E-5</v>
      </c>
      <c r="J24">
        <v>0.35</v>
      </c>
      <c r="K24">
        <v>3</v>
      </c>
      <c r="L24">
        <v>0.13000000000000003</v>
      </c>
      <c r="M24">
        <f t="shared" si="0"/>
        <v>0.95619999999999994</v>
      </c>
      <c r="N24">
        <v>1.2499999999999956E-2</v>
      </c>
      <c r="O24">
        <v>0.94369999999999998</v>
      </c>
      <c r="P24">
        <v>5.6300000000000017E-2</v>
      </c>
      <c r="Q24">
        <v>3.3300000000000003E-2</v>
      </c>
      <c r="R24" s="1">
        <v>8.9698324987704581E-2</v>
      </c>
      <c r="S24" s="5">
        <v>3.5999999999999999E-3</v>
      </c>
      <c r="T24" s="7">
        <v>4.1089335844281425E-3</v>
      </c>
      <c r="U24" s="5">
        <v>0</v>
      </c>
      <c r="V24">
        <f t="shared" si="1"/>
        <v>0</v>
      </c>
      <c r="W24" t="s">
        <v>33</v>
      </c>
      <c r="X24" t="s">
        <v>70</v>
      </c>
      <c r="Y24" t="s">
        <v>35</v>
      </c>
      <c r="Z24" t="s">
        <v>71</v>
      </c>
      <c r="AA24">
        <v>4.4900000000000002E-2</v>
      </c>
      <c r="AB24">
        <v>5.7500000000000002E-2</v>
      </c>
      <c r="AC24">
        <v>0.15</v>
      </c>
      <c r="AD24">
        <v>1</v>
      </c>
      <c r="AE24">
        <v>1.2500000000000001E-2</v>
      </c>
    </row>
    <row r="25" spans="1:31" ht="15">
      <c r="A25" t="s">
        <v>93</v>
      </c>
      <c r="B25" t="s">
        <v>94</v>
      </c>
      <c r="C25">
        <v>120</v>
      </c>
      <c r="D25">
        <v>10000</v>
      </c>
      <c r="E25">
        <v>1389</v>
      </c>
      <c r="F25">
        <v>0</v>
      </c>
      <c r="G25">
        <v>0.13376435265106001</v>
      </c>
      <c r="H25">
        <v>0.02</v>
      </c>
      <c r="I25">
        <v>2.0000000000000002E-5</v>
      </c>
      <c r="J25">
        <v>0.35</v>
      </c>
      <c r="K25">
        <v>0</v>
      </c>
      <c r="M25">
        <f t="shared" si="0"/>
        <v>1.0053000000000001</v>
      </c>
      <c r="N25">
        <v>1.2499999999999956E-2</v>
      </c>
      <c r="O25">
        <v>0.99280000000000002</v>
      </c>
      <c r="P25">
        <v>7.1999999999999842E-3</v>
      </c>
      <c r="Q25">
        <v>3.4599999999999999E-2</v>
      </c>
      <c r="R25" s="1">
        <v>9.1396270480743169E-2</v>
      </c>
      <c r="S25" s="5">
        <v>1.9E-3</v>
      </c>
      <c r="T25" s="7">
        <v>1.0720096583206036E-3</v>
      </c>
      <c r="U25" s="5">
        <v>0</v>
      </c>
      <c r="V25">
        <f t="shared" si="1"/>
        <v>0</v>
      </c>
      <c r="W25" t="s">
        <v>33</v>
      </c>
      <c r="X25">
        <v>0</v>
      </c>
      <c r="Y25" t="s">
        <v>35</v>
      </c>
      <c r="Z25" t="s">
        <v>67</v>
      </c>
      <c r="AA25">
        <v>0</v>
      </c>
      <c r="AB25">
        <v>5.3707500000000005E-2</v>
      </c>
      <c r="AC25">
        <v>0.17</v>
      </c>
      <c r="AD25">
        <v>1</v>
      </c>
      <c r="AE25">
        <v>1.2500000000000001E-2</v>
      </c>
    </row>
    <row r="26" spans="1:31" ht="15">
      <c r="A26" t="s">
        <v>95</v>
      </c>
      <c r="B26" t="s">
        <v>96</v>
      </c>
      <c r="C26">
        <v>123</v>
      </c>
      <c r="D26">
        <v>10000</v>
      </c>
      <c r="E26">
        <v>1390.0000000000002</v>
      </c>
      <c r="F26">
        <v>3.4599999999999999E-2</v>
      </c>
      <c r="G26">
        <v>0.1338</v>
      </c>
      <c r="H26">
        <v>0.02</v>
      </c>
      <c r="I26">
        <v>2.0000000000000002E-5</v>
      </c>
      <c r="J26">
        <v>0.35</v>
      </c>
      <c r="K26">
        <v>3</v>
      </c>
      <c r="L26">
        <v>0.13000000000000003</v>
      </c>
      <c r="M26">
        <f t="shared" si="0"/>
        <v>0.95569999999999999</v>
      </c>
      <c r="N26">
        <v>1.2499999999999956E-2</v>
      </c>
      <c r="O26">
        <v>0.94320000000000004</v>
      </c>
      <c r="P26">
        <v>5.6799999999999962E-2</v>
      </c>
      <c r="Q26">
        <v>3.4599999999999999E-2</v>
      </c>
      <c r="R26" s="1">
        <v>9.7856834189294695E-2</v>
      </c>
      <c r="S26" s="5">
        <v>5.0000000000000001E-4</v>
      </c>
      <c r="T26" s="7">
        <v>2.8495485375477897E-4</v>
      </c>
      <c r="U26" s="5">
        <v>0</v>
      </c>
      <c r="V26">
        <f t="shared" si="1"/>
        <v>0</v>
      </c>
      <c r="W26" t="s">
        <v>33</v>
      </c>
      <c r="X26" t="s">
        <v>70</v>
      </c>
      <c r="Y26" t="s">
        <v>35</v>
      </c>
      <c r="Z26" t="s">
        <v>71</v>
      </c>
      <c r="AA26">
        <v>5.763561346127604E-2</v>
      </c>
      <c r="AB26">
        <v>6.9926000000000002E-2</v>
      </c>
      <c r="AC26">
        <v>0.2</v>
      </c>
      <c r="AD26">
        <v>1</v>
      </c>
      <c r="AE26">
        <v>1.2500000000000001E-2</v>
      </c>
    </row>
    <row r="27" spans="1:31" ht="15">
      <c r="A27" t="s">
        <v>97</v>
      </c>
      <c r="B27" t="s">
        <v>98</v>
      </c>
      <c r="C27">
        <v>144</v>
      </c>
      <c r="D27">
        <v>10000</v>
      </c>
      <c r="E27">
        <v>1390.0000000000002</v>
      </c>
      <c r="F27">
        <v>0</v>
      </c>
      <c r="G27">
        <v>7.0099999999999996E-2</v>
      </c>
      <c r="H27">
        <v>0.02</v>
      </c>
      <c r="I27">
        <v>2.0000000000000002E-5</v>
      </c>
      <c r="J27">
        <v>0.35</v>
      </c>
      <c r="K27">
        <v>0</v>
      </c>
      <c r="M27">
        <f t="shared" si="0"/>
        <v>0.94750000000000001</v>
      </c>
      <c r="N27">
        <v>1.2499999999999956E-2</v>
      </c>
      <c r="O27">
        <v>0.93500000000000005</v>
      </c>
      <c r="P27">
        <v>6.4999999999999947E-2</v>
      </c>
      <c r="Q27">
        <v>3.56E-2</v>
      </c>
      <c r="R27" s="1">
        <v>0.10744450619881452</v>
      </c>
      <c r="S27" s="5">
        <v>0</v>
      </c>
      <c r="T27" s="7">
        <v>3.2009928571786838E-4</v>
      </c>
      <c r="U27" s="5">
        <v>0</v>
      </c>
      <c r="V27">
        <f t="shared" si="1"/>
        <v>0</v>
      </c>
      <c r="W27" t="s">
        <v>33</v>
      </c>
      <c r="X27">
        <v>0</v>
      </c>
      <c r="Y27" t="s">
        <v>35</v>
      </c>
      <c r="Z27" t="s">
        <v>67</v>
      </c>
      <c r="AA27">
        <v>0</v>
      </c>
      <c r="AB27">
        <v>6.077683113494986E-2</v>
      </c>
      <c r="AC27">
        <v>0.12</v>
      </c>
      <c r="AD27">
        <v>1</v>
      </c>
      <c r="AE27">
        <v>1.2500000000000001E-2</v>
      </c>
    </row>
    <row r="28" spans="1:31" ht="15">
      <c r="A28" t="s">
        <v>99</v>
      </c>
      <c r="B28" t="s">
        <v>100</v>
      </c>
      <c r="C28">
        <v>180</v>
      </c>
      <c r="D28">
        <v>10000</v>
      </c>
      <c r="E28">
        <v>795</v>
      </c>
      <c r="F28">
        <v>0</v>
      </c>
      <c r="G28">
        <v>0.2</v>
      </c>
      <c r="H28">
        <v>0.02</v>
      </c>
      <c r="I28">
        <v>2.0000000000000002E-5</v>
      </c>
      <c r="J28">
        <v>0.35</v>
      </c>
      <c r="K28">
        <v>0</v>
      </c>
      <c r="M28">
        <f t="shared" si="0"/>
        <v>0.90749999999999997</v>
      </c>
      <c r="N28">
        <v>1.2499999999999956E-2</v>
      </c>
      <c r="O28">
        <v>0.89500000000000002</v>
      </c>
      <c r="P28">
        <v>0.10499999999999998</v>
      </c>
      <c r="Q28">
        <v>3.0965949600000001E-2</v>
      </c>
      <c r="R28" s="1">
        <v>7.1880448451645762E-2</v>
      </c>
      <c r="S28" s="5">
        <v>1.4250000000000001E-2</v>
      </c>
      <c r="T28" s="7">
        <v>7.1208660200118741E-3</v>
      </c>
      <c r="U28" s="5">
        <v>0</v>
      </c>
      <c r="V28">
        <f t="shared" si="1"/>
        <v>0</v>
      </c>
      <c r="W28" t="s">
        <v>33</v>
      </c>
      <c r="X28">
        <v>0</v>
      </c>
      <c r="Y28" t="s">
        <v>35</v>
      </c>
      <c r="Z28" t="s">
        <v>67</v>
      </c>
      <c r="AA28">
        <v>0</v>
      </c>
      <c r="AB28">
        <v>0.04</v>
      </c>
      <c r="AC28">
        <v>0.22999999999999998</v>
      </c>
      <c r="AD28">
        <v>1</v>
      </c>
      <c r="AE28">
        <v>1.2500000000000001E-2</v>
      </c>
    </row>
    <row r="29" spans="1:31" ht="15">
      <c r="A29" t="s">
        <v>101</v>
      </c>
      <c r="B29" t="s">
        <v>102</v>
      </c>
      <c r="C29">
        <v>180</v>
      </c>
      <c r="D29">
        <v>10000</v>
      </c>
      <c r="E29">
        <v>895</v>
      </c>
      <c r="F29">
        <v>0</v>
      </c>
      <c r="G29">
        <v>0.2</v>
      </c>
      <c r="H29">
        <v>0.02</v>
      </c>
      <c r="I29">
        <v>2.0000000000000002E-5</v>
      </c>
      <c r="J29">
        <v>0.35</v>
      </c>
      <c r="K29">
        <v>0</v>
      </c>
      <c r="M29">
        <f t="shared" si="0"/>
        <v>0.9325</v>
      </c>
      <c r="N29">
        <v>1.2499999999999956E-2</v>
      </c>
      <c r="O29">
        <v>0.92</v>
      </c>
      <c r="P29">
        <v>7.999999999999996E-2</v>
      </c>
      <c r="Q29">
        <v>3.0965949600000001E-2</v>
      </c>
      <c r="R29" s="1">
        <v>7.2295920751140663E-2</v>
      </c>
      <c r="S29" s="5">
        <v>2.5000000000000001E-3</v>
      </c>
      <c r="T29" s="7">
        <v>2.0754515800317074E-3</v>
      </c>
      <c r="U29" s="5">
        <v>0</v>
      </c>
      <c r="V29">
        <f t="shared" si="1"/>
        <v>0</v>
      </c>
      <c r="W29" t="s">
        <v>33</v>
      </c>
      <c r="X29">
        <v>0</v>
      </c>
      <c r="Y29" t="s">
        <v>35</v>
      </c>
      <c r="Z29" t="s">
        <v>67</v>
      </c>
      <c r="AA29">
        <v>0</v>
      </c>
      <c r="AB29">
        <v>4.2500000000000003E-2</v>
      </c>
      <c r="AC29">
        <v>0.22999999999999998</v>
      </c>
      <c r="AD29">
        <v>1</v>
      </c>
      <c r="AE29">
        <v>1.2500000000000001E-2</v>
      </c>
    </row>
    <row r="30" spans="1:31" ht="15">
      <c r="A30" t="s">
        <v>103</v>
      </c>
      <c r="B30" t="s">
        <v>104</v>
      </c>
      <c r="C30">
        <v>123</v>
      </c>
      <c r="D30">
        <v>10000</v>
      </c>
      <c r="E30">
        <v>990</v>
      </c>
      <c r="F30">
        <v>1.66E-2</v>
      </c>
      <c r="G30">
        <v>0.1696</v>
      </c>
      <c r="H30">
        <v>0.02</v>
      </c>
      <c r="I30">
        <v>2.0000000000000002E-5</v>
      </c>
      <c r="J30">
        <v>0.35</v>
      </c>
      <c r="K30">
        <v>3</v>
      </c>
      <c r="L30">
        <v>0.13000000000000003</v>
      </c>
      <c r="M30">
        <f t="shared" si="0"/>
        <v>0.95799999999999996</v>
      </c>
      <c r="N30">
        <v>1.2499999999999956E-2</v>
      </c>
      <c r="O30">
        <v>0.94550000000000001</v>
      </c>
      <c r="P30">
        <v>5.4499999999999993E-2</v>
      </c>
      <c r="Q30">
        <v>1.66E-2</v>
      </c>
      <c r="R30" s="1">
        <v>7.4527304358737112E-2</v>
      </c>
      <c r="S30" s="5">
        <v>9.5499999999999995E-3</v>
      </c>
      <c r="T30" s="7">
        <v>2.372249157508535E-4</v>
      </c>
      <c r="U30" s="5">
        <v>0</v>
      </c>
      <c r="V30">
        <f t="shared" si="1"/>
        <v>0</v>
      </c>
      <c r="W30" t="s">
        <v>33</v>
      </c>
      <c r="X30" t="s">
        <v>70</v>
      </c>
      <c r="Y30" t="s">
        <v>35</v>
      </c>
      <c r="Z30" t="s">
        <v>71</v>
      </c>
      <c r="AA30">
        <v>2.2700000000000001E-2</v>
      </c>
      <c r="AB30">
        <v>2.42185E-2</v>
      </c>
      <c r="AC30">
        <v>0.22</v>
      </c>
      <c r="AD30">
        <v>1</v>
      </c>
      <c r="AE30">
        <v>1.2500000000000001E-2</v>
      </c>
    </row>
    <row r="31" spans="1:31" ht="15">
      <c r="A31" t="s">
        <v>105</v>
      </c>
      <c r="B31" t="s">
        <v>106</v>
      </c>
      <c r="C31">
        <v>180</v>
      </c>
      <c r="D31">
        <v>10000</v>
      </c>
      <c r="E31">
        <v>990</v>
      </c>
      <c r="F31">
        <v>0</v>
      </c>
      <c r="G31">
        <v>0.16789999999999999</v>
      </c>
      <c r="H31">
        <v>0.02</v>
      </c>
      <c r="I31">
        <v>2.0000000000000002E-5</v>
      </c>
      <c r="J31">
        <v>0.35</v>
      </c>
      <c r="K31">
        <v>0</v>
      </c>
      <c r="M31">
        <f t="shared" si="0"/>
        <v>0.98009999999999997</v>
      </c>
      <c r="N31">
        <v>1.2499999999999956E-2</v>
      </c>
      <c r="O31">
        <v>0.96760000000000002</v>
      </c>
      <c r="P31">
        <v>3.2399999999999984E-2</v>
      </c>
      <c r="Q31">
        <v>2.07E-2</v>
      </c>
      <c r="R31" s="1">
        <v>7.0567027659109272E-2</v>
      </c>
      <c r="S31" s="5">
        <v>6.2799999999999995E-2</v>
      </c>
      <c r="T31" s="7">
        <v>8.6013021351138627E-2</v>
      </c>
      <c r="U31" s="5">
        <v>0</v>
      </c>
      <c r="V31">
        <f t="shared" si="1"/>
        <v>0</v>
      </c>
      <c r="W31" t="s">
        <v>33</v>
      </c>
      <c r="X31">
        <v>0</v>
      </c>
      <c r="Y31" t="s">
        <v>35</v>
      </c>
      <c r="Z31" t="s">
        <v>67</v>
      </c>
      <c r="AA31">
        <v>0</v>
      </c>
      <c r="AB31">
        <v>2.5063500000000006E-2</v>
      </c>
      <c r="AC31">
        <v>0.2</v>
      </c>
      <c r="AD31">
        <v>1</v>
      </c>
      <c r="AE31">
        <v>1.2500000000000001E-2</v>
      </c>
    </row>
    <row r="32" spans="1:31" ht="15">
      <c r="A32" t="s">
        <v>107</v>
      </c>
      <c r="B32" t="s">
        <v>108</v>
      </c>
      <c r="C32">
        <v>183</v>
      </c>
      <c r="D32">
        <v>10000</v>
      </c>
      <c r="E32">
        <v>990</v>
      </c>
      <c r="F32">
        <v>2.07E-2</v>
      </c>
      <c r="G32">
        <v>0.16789999999999999</v>
      </c>
      <c r="H32">
        <v>0.02</v>
      </c>
      <c r="I32">
        <v>2.0000000000000002E-5</v>
      </c>
      <c r="J32">
        <v>0.35</v>
      </c>
      <c r="K32">
        <v>3</v>
      </c>
      <c r="L32">
        <v>0.13000000000000003</v>
      </c>
      <c r="M32">
        <f t="shared" si="0"/>
        <v>0.96249999999999991</v>
      </c>
      <c r="N32">
        <v>1.2499999999999956E-2</v>
      </c>
      <c r="O32">
        <v>0.95</v>
      </c>
      <c r="P32">
        <v>5.0000000000000044E-2</v>
      </c>
      <c r="Q32">
        <v>2.07E-2</v>
      </c>
      <c r="R32" s="7">
        <v>6.9040188350142806E-2</v>
      </c>
      <c r="S32" s="5">
        <v>1.1000000000000001E-3</v>
      </c>
      <c r="T32" s="7">
        <v>7.5987961001274397E-4</v>
      </c>
      <c r="U32" s="5">
        <v>0.18</v>
      </c>
      <c r="V32">
        <f t="shared" si="1"/>
        <v>7499999.9999999991</v>
      </c>
      <c r="W32" t="s">
        <v>33</v>
      </c>
      <c r="X32" t="s">
        <v>70</v>
      </c>
      <c r="Y32" t="s">
        <v>35</v>
      </c>
      <c r="Z32" t="s">
        <v>71</v>
      </c>
      <c r="AA32">
        <v>2.5399999999999999E-2</v>
      </c>
      <c r="AB32">
        <v>3.5646999999999998E-2</v>
      </c>
      <c r="AC32">
        <v>0.22</v>
      </c>
      <c r="AD32">
        <v>1</v>
      </c>
      <c r="AE32">
        <v>1.2500000000000001E-2</v>
      </c>
    </row>
    <row r="33" spans="1:31" ht="15">
      <c r="A33" t="s">
        <v>109</v>
      </c>
      <c r="B33" t="s">
        <v>110</v>
      </c>
      <c r="C33">
        <v>120</v>
      </c>
      <c r="D33">
        <v>10000</v>
      </c>
      <c r="E33">
        <v>999</v>
      </c>
      <c r="F33">
        <v>0</v>
      </c>
      <c r="G33">
        <v>0.26100000000000001</v>
      </c>
      <c r="H33">
        <v>0.02</v>
      </c>
      <c r="I33">
        <v>2.0000000000000002E-5</v>
      </c>
      <c r="J33">
        <v>0.35</v>
      </c>
      <c r="K33">
        <v>0</v>
      </c>
      <c r="M33">
        <f t="shared" si="0"/>
        <v>1.0074000000000001</v>
      </c>
      <c r="N33">
        <v>1.2499999999999956E-2</v>
      </c>
      <c r="O33">
        <v>0.99490000000000001</v>
      </c>
      <c r="P33">
        <v>5.0999999999999934E-3</v>
      </c>
      <c r="Q33">
        <v>6.8999999999999999E-3</v>
      </c>
      <c r="R33" s="1">
        <v>7.152171297673604E-2</v>
      </c>
      <c r="S33" s="5">
        <v>8.9999999999999998E-4</v>
      </c>
      <c r="T33" s="7">
        <v>6.525466150984438E-4</v>
      </c>
      <c r="U33" s="5">
        <v>0</v>
      </c>
      <c r="V33">
        <f t="shared" si="1"/>
        <v>0</v>
      </c>
      <c r="W33" t="s">
        <v>33</v>
      </c>
      <c r="X33">
        <v>0</v>
      </c>
      <c r="Y33" t="s">
        <v>35</v>
      </c>
      <c r="Z33" t="s">
        <v>67</v>
      </c>
      <c r="AA33">
        <v>0</v>
      </c>
      <c r="AB33">
        <v>1.6170000000000004E-2</v>
      </c>
      <c r="AC33">
        <v>0.30014999999999997</v>
      </c>
      <c r="AD33">
        <v>1</v>
      </c>
      <c r="AE33">
        <v>1.2500000000000001E-2</v>
      </c>
    </row>
    <row r="34" spans="1:31" ht="15">
      <c r="A34" t="s">
        <v>111</v>
      </c>
      <c r="B34" t="s">
        <v>112</v>
      </c>
      <c r="C34">
        <v>180</v>
      </c>
      <c r="D34">
        <v>10000</v>
      </c>
      <c r="E34">
        <v>999</v>
      </c>
      <c r="F34">
        <v>0</v>
      </c>
      <c r="G34">
        <v>0.19950000000000001</v>
      </c>
      <c r="H34">
        <v>0.02</v>
      </c>
      <c r="I34">
        <v>2.0000000000000002E-5</v>
      </c>
      <c r="J34">
        <v>0.35</v>
      </c>
      <c r="K34">
        <v>0</v>
      </c>
      <c r="M34">
        <f t="shared" ref="M34:M54" si="2">O34+N34</f>
        <v>0.99829999999999997</v>
      </c>
      <c r="N34">
        <v>1.2499999999999956E-2</v>
      </c>
      <c r="O34">
        <v>0.98580000000000001</v>
      </c>
      <c r="P34">
        <v>1.419999999999999E-2</v>
      </c>
      <c r="Q34">
        <v>7.1000000000000004E-3</v>
      </c>
      <c r="R34" s="1">
        <v>7.5407117984509497E-2</v>
      </c>
      <c r="S34" s="5">
        <v>6.4999999999999997E-4</v>
      </c>
      <c r="T34" s="7">
        <v>1.206071418517102E-3</v>
      </c>
      <c r="U34" s="5">
        <v>0</v>
      </c>
      <c r="V34">
        <f t="shared" ref="V34:V60" si="3">U34*(500000000/12)</f>
        <v>0</v>
      </c>
      <c r="W34" t="s">
        <v>33</v>
      </c>
      <c r="X34">
        <v>0</v>
      </c>
      <c r="Y34" t="s">
        <v>35</v>
      </c>
      <c r="Z34" t="s">
        <v>67</v>
      </c>
      <c r="AA34">
        <v>0</v>
      </c>
      <c r="AB34">
        <v>1.3860000000000001E-2</v>
      </c>
      <c r="AC34">
        <v>0.20533999999999999</v>
      </c>
      <c r="AD34">
        <v>1</v>
      </c>
      <c r="AE34">
        <v>1.2500000000000001E-2</v>
      </c>
    </row>
    <row r="35" spans="1:31" ht="15">
      <c r="A35" t="s">
        <v>113</v>
      </c>
      <c r="B35" t="s">
        <v>114</v>
      </c>
      <c r="C35">
        <v>60</v>
      </c>
      <c r="D35">
        <v>10000</v>
      </c>
      <c r="E35">
        <v>999</v>
      </c>
      <c r="F35">
        <v>0</v>
      </c>
      <c r="G35">
        <v>0.30869999999999997</v>
      </c>
      <c r="H35">
        <v>0.02</v>
      </c>
      <c r="I35">
        <v>2.0000000000000002E-5</v>
      </c>
      <c r="J35">
        <v>0.35</v>
      </c>
      <c r="K35">
        <v>0</v>
      </c>
      <c r="M35">
        <f t="shared" si="2"/>
        <v>0.97719999999999996</v>
      </c>
      <c r="N35">
        <v>1.2499999999999956E-2</v>
      </c>
      <c r="O35">
        <v>0.9647</v>
      </c>
      <c r="P35">
        <v>3.5299999999999998E-2</v>
      </c>
      <c r="Q35">
        <v>7.7999999999999996E-3</v>
      </c>
      <c r="R35" s="1">
        <v>9.0334766117627474E-2</v>
      </c>
      <c r="S35" s="5">
        <v>2.5000000000000001E-4</v>
      </c>
      <c r="T35" s="7">
        <v>9.1271989507168223E-4</v>
      </c>
      <c r="U35" s="5">
        <v>0</v>
      </c>
      <c r="V35">
        <f t="shared" si="3"/>
        <v>0</v>
      </c>
      <c r="W35" t="s">
        <v>33</v>
      </c>
      <c r="X35">
        <v>0</v>
      </c>
      <c r="Y35" t="s">
        <v>35</v>
      </c>
      <c r="Z35" t="s">
        <v>67</v>
      </c>
      <c r="AA35">
        <v>0</v>
      </c>
      <c r="AB35">
        <v>2.5592500000000001E-2</v>
      </c>
      <c r="AC35">
        <v>0.30500500000000003</v>
      </c>
      <c r="AD35">
        <v>1</v>
      </c>
      <c r="AE35">
        <v>1.2500000000000001E-2</v>
      </c>
    </row>
    <row r="36" spans="1:31" ht="15">
      <c r="A36" t="s">
        <v>115</v>
      </c>
      <c r="B36" t="s">
        <v>116</v>
      </c>
      <c r="C36">
        <v>90</v>
      </c>
      <c r="D36">
        <v>10000</v>
      </c>
      <c r="E36">
        <v>999</v>
      </c>
      <c r="F36">
        <v>0</v>
      </c>
      <c r="G36">
        <v>0.30399999999999999</v>
      </c>
      <c r="H36">
        <v>0.02</v>
      </c>
      <c r="I36">
        <v>2.0000000000000002E-5</v>
      </c>
      <c r="J36">
        <v>0.35</v>
      </c>
      <c r="K36">
        <v>0</v>
      </c>
      <c r="M36">
        <f t="shared" si="2"/>
        <v>1.0017</v>
      </c>
      <c r="N36">
        <v>1.2499999999999956E-2</v>
      </c>
      <c r="O36">
        <v>0.98919999999999997</v>
      </c>
      <c r="P36">
        <v>1.0800000000000032E-2</v>
      </c>
      <c r="Q36">
        <v>8.0000000000000002E-3</v>
      </c>
      <c r="R36" s="1">
        <v>7.3202394313488739E-2</v>
      </c>
      <c r="S36" s="5">
        <v>3.0999999999999999E-3</v>
      </c>
      <c r="T36" s="7">
        <v>3.2475592295297773E-3</v>
      </c>
      <c r="U36" s="5">
        <v>0</v>
      </c>
      <c r="V36">
        <f t="shared" si="3"/>
        <v>0</v>
      </c>
      <c r="W36" t="s">
        <v>33</v>
      </c>
      <c r="X36">
        <v>0</v>
      </c>
      <c r="Y36" t="s">
        <v>35</v>
      </c>
      <c r="Z36" t="s">
        <v>67</v>
      </c>
      <c r="AA36">
        <v>0</v>
      </c>
      <c r="AB36">
        <v>0.02</v>
      </c>
      <c r="AC36">
        <v>0.30399999999999999</v>
      </c>
      <c r="AD36">
        <v>1</v>
      </c>
      <c r="AE36">
        <v>1.2500000000000001E-2</v>
      </c>
    </row>
    <row r="37" spans="1:31" ht="15">
      <c r="A37" t="s">
        <v>117</v>
      </c>
      <c r="B37" t="s">
        <v>118</v>
      </c>
      <c r="C37">
        <v>36</v>
      </c>
      <c r="D37">
        <v>10000</v>
      </c>
      <c r="E37">
        <v>0</v>
      </c>
      <c r="F37">
        <v>0</v>
      </c>
      <c r="G37">
        <v>0.214</v>
      </c>
      <c r="H37">
        <v>0.02</v>
      </c>
      <c r="I37">
        <v>2.0000000000000002E-5</v>
      </c>
      <c r="J37">
        <v>0.35</v>
      </c>
      <c r="K37">
        <v>36</v>
      </c>
      <c r="M37">
        <f t="shared" si="2"/>
        <v>0.89039999999999997</v>
      </c>
      <c r="N37">
        <v>1.2499999999999956E-2</v>
      </c>
      <c r="O37">
        <v>0.87790000000000001</v>
      </c>
      <c r="P37">
        <v>0.12209999999999999</v>
      </c>
      <c r="Q37">
        <v>1.11E-2</v>
      </c>
      <c r="R37" s="1">
        <v>6.7295747520827121E-2</v>
      </c>
      <c r="S37" s="5">
        <v>2.495E-2</v>
      </c>
      <c r="T37" s="7">
        <v>1.8717158884834328E-2</v>
      </c>
      <c r="U37" s="5">
        <v>0</v>
      </c>
      <c r="V37">
        <f t="shared" si="3"/>
        <v>0</v>
      </c>
      <c r="W37" t="s">
        <v>33</v>
      </c>
      <c r="X37">
        <v>0</v>
      </c>
      <c r="Y37" t="s">
        <v>35</v>
      </c>
      <c r="Z37" t="s">
        <v>119</v>
      </c>
      <c r="AA37">
        <v>0</v>
      </c>
      <c r="AB37">
        <v>1.4437500000000002E-2</v>
      </c>
      <c r="AC37">
        <v>0.18</v>
      </c>
      <c r="AD37">
        <v>1</v>
      </c>
      <c r="AE37">
        <v>1.2500000000000001E-2</v>
      </c>
    </row>
    <row r="38" spans="1:31" ht="15">
      <c r="A38" t="s">
        <v>120</v>
      </c>
      <c r="B38" t="s">
        <v>121</v>
      </c>
      <c r="C38">
        <v>60</v>
      </c>
      <c r="D38">
        <v>10000</v>
      </c>
      <c r="E38">
        <v>0</v>
      </c>
      <c r="F38">
        <v>0</v>
      </c>
      <c r="G38">
        <v>0.13900000000000001</v>
      </c>
      <c r="H38">
        <v>0.02</v>
      </c>
      <c r="I38">
        <v>2.0000000000000002E-5</v>
      </c>
      <c r="J38">
        <v>0.35</v>
      </c>
      <c r="K38">
        <v>60</v>
      </c>
      <c r="M38">
        <f t="shared" si="2"/>
        <v>0.86629999999999996</v>
      </c>
      <c r="N38">
        <v>1.2499999999999956E-2</v>
      </c>
      <c r="O38">
        <v>0.8538</v>
      </c>
      <c r="P38">
        <v>0.1462</v>
      </c>
      <c r="Q38">
        <v>1.03E-2</v>
      </c>
      <c r="R38" s="7">
        <v>4.4721914918141259E-2</v>
      </c>
      <c r="S38" s="5">
        <v>5.5350000000000003E-2</v>
      </c>
      <c r="T38" s="7">
        <v>6.3152631953140581E-2</v>
      </c>
      <c r="U38" s="5">
        <v>0.09</v>
      </c>
      <c r="V38">
        <f t="shared" si="3"/>
        <v>3749999.9999999995</v>
      </c>
      <c r="W38" t="s">
        <v>33</v>
      </c>
      <c r="X38">
        <v>0</v>
      </c>
      <c r="Y38" t="s">
        <v>35</v>
      </c>
      <c r="Z38" t="s">
        <v>119</v>
      </c>
      <c r="AA38">
        <v>0</v>
      </c>
      <c r="AB38">
        <v>1.3860000000000001E-2</v>
      </c>
      <c r="AC38">
        <v>0.14000000000000001</v>
      </c>
      <c r="AD38">
        <v>1</v>
      </c>
      <c r="AE38">
        <v>1.2500000000000001E-2</v>
      </c>
    </row>
    <row r="39" spans="1:31" ht="15">
      <c r="A39" s="2" t="s">
        <v>39</v>
      </c>
      <c r="B39" s="2" t="s">
        <v>40</v>
      </c>
      <c r="C39" s="2">
        <v>58</v>
      </c>
      <c r="D39" s="2">
        <v>10000</v>
      </c>
      <c r="E39" s="2">
        <v>2200</v>
      </c>
      <c r="F39" s="2">
        <v>2.5100000000000001E-2</v>
      </c>
      <c r="G39" s="2">
        <v>0.25701318938854839</v>
      </c>
      <c r="H39" s="2">
        <v>0.02</v>
      </c>
      <c r="I39" s="2">
        <v>2.0000000000000002E-5</v>
      </c>
      <c r="J39" s="2">
        <v>0.35</v>
      </c>
      <c r="K39" s="2">
        <v>18</v>
      </c>
      <c r="L39" s="2">
        <v>0.82027057699026318</v>
      </c>
      <c r="M39" s="2">
        <f t="shared" si="2"/>
        <v>0.95920000000000005</v>
      </c>
      <c r="N39" s="2">
        <v>1.2499999999999956E-2</v>
      </c>
      <c r="O39" s="2">
        <v>0.9467000000000001</v>
      </c>
      <c r="P39" s="2">
        <v>5.3299999999999903E-2</v>
      </c>
      <c r="Q39" s="2">
        <v>6.4299999999999996E-2</v>
      </c>
      <c r="R39" s="8">
        <v>7.9462551995836961E-2</v>
      </c>
      <c r="S39" s="6">
        <v>0.1951</v>
      </c>
      <c r="T39" s="8">
        <v>4.1090767478203234E-2</v>
      </c>
      <c r="U39" s="6">
        <v>0.05</v>
      </c>
      <c r="V39">
        <f t="shared" si="3"/>
        <v>2083333.3333333333</v>
      </c>
      <c r="W39" s="2" t="s">
        <v>122</v>
      </c>
      <c r="X39" s="2" t="s">
        <v>123</v>
      </c>
      <c r="Y39" s="2" t="s">
        <v>124</v>
      </c>
      <c r="Z39" s="2" t="s">
        <v>36</v>
      </c>
      <c r="AA39" s="2">
        <v>1.2999999999999999E-2</v>
      </c>
      <c r="AB39" s="2">
        <v>6.4299999999999996E-2</v>
      </c>
      <c r="AC39" s="2">
        <v>0.3</v>
      </c>
      <c r="AD39" s="2">
        <v>1</v>
      </c>
      <c r="AE39">
        <v>1.2500000000000001E-2</v>
      </c>
    </row>
    <row r="40" spans="1:31" ht="15">
      <c r="A40" s="2" t="s">
        <v>49</v>
      </c>
      <c r="B40" s="2" t="s">
        <v>50</v>
      </c>
      <c r="C40" s="2">
        <v>56</v>
      </c>
      <c r="D40" s="2">
        <v>10000</v>
      </c>
      <c r="E40" s="2">
        <v>2200</v>
      </c>
      <c r="F40" s="2">
        <v>4.7E-2</v>
      </c>
      <c r="G40" s="2">
        <v>0.16972991014247368</v>
      </c>
      <c r="H40" s="2">
        <v>0.02</v>
      </c>
      <c r="I40" s="2">
        <v>2.0000000000000002E-5</v>
      </c>
      <c r="J40" s="2">
        <v>0.35</v>
      </c>
      <c r="K40" s="2">
        <v>6</v>
      </c>
      <c r="L40" s="2">
        <v>0.65464361094297141</v>
      </c>
      <c r="M40" s="2">
        <f t="shared" si="2"/>
        <v>0.98070000000000002</v>
      </c>
      <c r="N40" s="2">
        <v>1.2499999999999956E-2</v>
      </c>
      <c r="O40" s="2">
        <v>0.96820000000000006</v>
      </c>
      <c r="P40" s="2">
        <v>3.1799999999999939E-2</v>
      </c>
      <c r="Q40" s="2">
        <v>3.7600000000000001E-2</v>
      </c>
      <c r="R40" s="3">
        <v>0.13825131579126371</v>
      </c>
      <c r="S40" s="6">
        <v>3.0000000000000001E-3</v>
      </c>
      <c r="T40" s="8">
        <v>5.3758170825339629E-3</v>
      </c>
      <c r="U40" s="6">
        <v>0</v>
      </c>
      <c r="V40">
        <f t="shared" si="3"/>
        <v>0</v>
      </c>
      <c r="W40" s="2" t="s">
        <v>122</v>
      </c>
      <c r="X40" s="2" t="s">
        <v>125</v>
      </c>
      <c r="Y40" s="2" t="s">
        <v>124</v>
      </c>
      <c r="Z40" s="2" t="s">
        <v>36</v>
      </c>
      <c r="AA40" s="2">
        <v>7.0000000000000007E-2</v>
      </c>
      <c r="AB40" s="2">
        <v>7.2499999999999995E-2</v>
      </c>
      <c r="AC40" s="2">
        <v>0.2</v>
      </c>
      <c r="AD40" s="2">
        <v>1</v>
      </c>
      <c r="AE40">
        <v>1.2500000000000001E-2</v>
      </c>
    </row>
    <row r="41" spans="1:31" ht="15">
      <c r="A41" s="2" t="s">
        <v>52</v>
      </c>
      <c r="B41" s="2" t="s">
        <v>53</v>
      </c>
      <c r="C41" s="2">
        <v>86</v>
      </c>
      <c r="D41" s="2">
        <v>10000</v>
      </c>
      <c r="E41" s="2">
        <v>2200</v>
      </c>
      <c r="F41" s="2">
        <v>1.3395680703240598E-2</v>
      </c>
      <c r="G41" s="2">
        <v>0.3347</v>
      </c>
      <c r="H41" s="2">
        <v>0.02</v>
      </c>
      <c r="I41" s="2">
        <v>2.0000000000000002E-5</v>
      </c>
      <c r="J41" s="2">
        <v>0.35</v>
      </c>
      <c r="K41" s="2">
        <v>10</v>
      </c>
      <c r="L41" s="2">
        <v>0.82499999999999996</v>
      </c>
      <c r="M41" s="2">
        <f t="shared" si="2"/>
        <v>0.95650000000000002</v>
      </c>
      <c r="N41" s="2">
        <v>1.2499999999999956E-2</v>
      </c>
      <c r="O41" s="2">
        <v>0.94400000000000006</v>
      </c>
      <c r="P41" s="2">
        <v>5.5999999999999939E-2</v>
      </c>
      <c r="Q41" s="2">
        <v>1.3395680703240598E-2</v>
      </c>
      <c r="R41" s="3">
        <v>8.809351988427494E-2</v>
      </c>
      <c r="S41" s="6">
        <v>1.49E-2</v>
      </c>
      <c r="T41" s="8">
        <v>8.95476085425045E-2</v>
      </c>
      <c r="U41" s="6">
        <v>0</v>
      </c>
      <c r="V41">
        <f t="shared" si="3"/>
        <v>0</v>
      </c>
      <c r="W41" s="2" t="s">
        <v>122</v>
      </c>
      <c r="X41" s="2" t="s">
        <v>126</v>
      </c>
      <c r="Y41" s="2" t="s">
        <v>124</v>
      </c>
      <c r="Z41" s="2" t="s">
        <v>55</v>
      </c>
      <c r="AA41" s="2">
        <v>3.3000000000000002E-2</v>
      </c>
      <c r="AB41" s="2">
        <v>2.2499999999999999E-2</v>
      </c>
      <c r="AC41" s="2">
        <v>0.35</v>
      </c>
      <c r="AD41" s="2">
        <v>1</v>
      </c>
      <c r="AE41">
        <v>1.2500000000000001E-2</v>
      </c>
    </row>
    <row r="42" spans="1:31" ht="15">
      <c r="A42" s="2" t="s">
        <v>127</v>
      </c>
      <c r="B42" s="2" t="s">
        <v>128</v>
      </c>
      <c r="C42" s="2">
        <v>86</v>
      </c>
      <c r="D42" s="2">
        <v>10000</v>
      </c>
      <c r="E42" s="2">
        <v>2200</v>
      </c>
      <c r="F42" s="2">
        <v>7.695688701562853E-3</v>
      </c>
      <c r="G42" s="2">
        <v>0.5</v>
      </c>
      <c r="H42" s="2">
        <v>0.02</v>
      </c>
      <c r="I42" s="2">
        <v>2.0000000000000002E-5</v>
      </c>
      <c r="J42" s="2">
        <v>0.35</v>
      </c>
      <c r="K42" s="2">
        <v>12</v>
      </c>
      <c r="L42" s="2">
        <v>0.97039999999999993</v>
      </c>
      <c r="M42" s="2">
        <f t="shared" si="2"/>
        <v>0.95679999999999998</v>
      </c>
      <c r="N42" s="2">
        <v>1.2499999999999956E-2</v>
      </c>
      <c r="O42" s="2">
        <v>0.94430000000000003</v>
      </c>
      <c r="P42" s="2">
        <v>5.5699999999999972E-2</v>
      </c>
      <c r="Q42" s="2">
        <v>7.695688701562853E-3</v>
      </c>
      <c r="R42" s="8">
        <v>4.6832993443052473E-2</v>
      </c>
      <c r="S42" s="6">
        <v>8.4849999999999995E-2</v>
      </c>
      <c r="T42" s="8">
        <v>6.8272876948181335E-2</v>
      </c>
      <c r="U42" s="6">
        <v>0.13</v>
      </c>
      <c r="V42">
        <f t="shared" si="3"/>
        <v>5416666.666666667</v>
      </c>
      <c r="W42" s="2" t="s">
        <v>122</v>
      </c>
      <c r="X42" s="2" t="s">
        <v>129</v>
      </c>
      <c r="Y42" s="2" t="s">
        <v>124</v>
      </c>
      <c r="Z42" s="2" t="s">
        <v>55</v>
      </c>
      <c r="AA42" s="2">
        <v>2.2499999999999999E-2</v>
      </c>
      <c r="AB42" s="2">
        <v>0.02</v>
      </c>
      <c r="AC42" s="2">
        <v>0.5</v>
      </c>
      <c r="AD42" s="2">
        <v>1</v>
      </c>
      <c r="AE42">
        <v>1.2500000000000001E-2</v>
      </c>
    </row>
    <row r="43" spans="1:31" ht="15">
      <c r="A43" s="2" t="s">
        <v>59</v>
      </c>
      <c r="B43" s="2" t="s">
        <v>60</v>
      </c>
      <c r="C43" s="2">
        <v>96</v>
      </c>
      <c r="D43" s="2">
        <v>10000</v>
      </c>
      <c r="E43" s="2">
        <v>2200</v>
      </c>
      <c r="F43" s="2">
        <v>1.3222633524994162E-2</v>
      </c>
      <c r="G43" s="2">
        <v>0.27189999999999998</v>
      </c>
      <c r="H43" s="2">
        <v>0.02</v>
      </c>
      <c r="I43" s="2">
        <v>2.0000000000000002E-5</v>
      </c>
      <c r="J43" s="2">
        <v>0.35</v>
      </c>
      <c r="K43" s="2">
        <v>20</v>
      </c>
      <c r="L43" s="2">
        <v>0.8839999999999999</v>
      </c>
      <c r="M43" s="2">
        <f t="shared" si="2"/>
        <v>0.89490000000000003</v>
      </c>
      <c r="N43" s="2">
        <v>1.2499999999999956E-2</v>
      </c>
      <c r="O43" s="2">
        <v>0.88240000000000007</v>
      </c>
      <c r="P43" s="2">
        <v>0.11759999999999993</v>
      </c>
      <c r="Q43" s="2">
        <v>1.3222633524994162E-2</v>
      </c>
      <c r="R43" s="3">
        <v>8.26715029780134E-2</v>
      </c>
      <c r="S43" s="6">
        <v>8.5000000000000006E-3</v>
      </c>
      <c r="T43" s="8">
        <v>1.881535978886887E-2</v>
      </c>
      <c r="U43" s="6">
        <v>0</v>
      </c>
      <c r="V43">
        <f t="shared" si="3"/>
        <v>0</v>
      </c>
      <c r="W43" s="2" t="s">
        <v>122</v>
      </c>
      <c r="X43" s="2" t="s">
        <v>130</v>
      </c>
      <c r="Y43" s="2" t="s">
        <v>124</v>
      </c>
      <c r="Z43" s="2" t="s">
        <v>55</v>
      </c>
      <c r="AA43" s="2">
        <v>3.04E-2</v>
      </c>
      <c r="AB43" s="2">
        <v>0.02</v>
      </c>
      <c r="AC43" s="2">
        <v>0.45</v>
      </c>
      <c r="AD43" s="2">
        <v>1</v>
      </c>
      <c r="AE43">
        <v>1.2500000000000001E-2</v>
      </c>
    </row>
    <row r="44" spans="1:31" ht="15">
      <c r="A44" s="2" t="s">
        <v>62</v>
      </c>
      <c r="B44" s="2" t="s">
        <v>63</v>
      </c>
      <c r="C44" s="2">
        <v>96</v>
      </c>
      <c r="D44" s="2">
        <v>10000</v>
      </c>
      <c r="E44" s="2">
        <v>2200</v>
      </c>
      <c r="F44" s="2">
        <v>8.0796898893547679E-3</v>
      </c>
      <c r="G44" s="2">
        <v>0.5</v>
      </c>
      <c r="H44" s="2">
        <v>0.02</v>
      </c>
      <c r="I44" s="2">
        <v>2.0000000000000002E-5</v>
      </c>
      <c r="J44" s="2">
        <v>0.35</v>
      </c>
      <c r="K44" s="2">
        <v>24</v>
      </c>
      <c r="L44" s="2">
        <v>0.88360000000000005</v>
      </c>
      <c r="M44" s="2">
        <f t="shared" si="2"/>
        <v>0.89610000000000001</v>
      </c>
      <c r="N44" s="2">
        <v>1.2499999999999956E-2</v>
      </c>
      <c r="O44" s="2">
        <v>0.88360000000000005</v>
      </c>
      <c r="P44" s="2">
        <v>0.11639999999999995</v>
      </c>
      <c r="Q44" s="2">
        <v>8.0796898893547679E-3</v>
      </c>
      <c r="R44" s="3">
        <v>6.9662236371699215E-2</v>
      </c>
      <c r="S44" s="6">
        <v>6.0350000000000001E-2</v>
      </c>
      <c r="T44" s="8">
        <v>5.6629082931730232E-2</v>
      </c>
      <c r="U44" s="6">
        <v>0</v>
      </c>
      <c r="V44">
        <f t="shared" si="3"/>
        <v>0</v>
      </c>
      <c r="W44" s="2" t="s">
        <v>122</v>
      </c>
      <c r="X44" s="2" t="s">
        <v>64</v>
      </c>
      <c r="Y44" s="2" t="s">
        <v>124</v>
      </c>
      <c r="Z44" s="2" t="s">
        <v>55</v>
      </c>
      <c r="AA44" s="2">
        <v>2.4239069668064304E-2</v>
      </c>
      <c r="AB44" s="2">
        <v>2.2499999999999999E-2</v>
      </c>
      <c r="AC44" s="2">
        <v>0.5</v>
      </c>
      <c r="AD44" s="2">
        <v>1</v>
      </c>
      <c r="AE44">
        <v>1.2500000000000001E-2</v>
      </c>
    </row>
    <row r="45" spans="1:31" ht="15">
      <c r="A45" s="2" t="s">
        <v>72</v>
      </c>
      <c r="B45" s="2" t="s">
        <v>73</v>
      </c>
      <c r="C45" s="2">
        <v>180</v>
      </c>
      <c r="D45" s="2">
        <v>10000</v>
      </c>
      <c r="E45" s="2">
        <v>1090</v>
      </c>
      <c r="F45" s="2">
        <v>0</v>
      </c>
      <c r="G45" s="2">
        <v>0.18665108495076935</v>
      </c>
      <c r="H45" s="2">
        <v>0.02</v>
      </c>
      <c r="I45" s="2">
        <v>2.0000000000000002E-5</v>
      </c>
      <c r="J45" s="2">
        <v>0.35</v>
      </c>
      <c r="K45" s="2">
        <v>0</v>
      </c>
      <c r="L45" s="2"/>
      <c r="M45" s="2">
        <f t="shared" si="2"/>
        <v>0.98301423942599053</v>
      </c>
      <c r="N45" s="2">
        <v>1.2499999999999956E-2</v>
      </c>
      <c r="O45" s="2">
        <v>0.97051423942599058</v>
      </c>
      <c r="P45" s="2">
        <v>2.9485760574009423E-2</v>
      </c>
      <c r="Q45" s="2">
        <v>8.6141512898251487E-3</v>
      </c>
      <c r="R45" s="3">
        <v>8.8625485415905203E-2</v>
      </c>
      <c r="S45" s="6">
        <v>6.0499999999999998E-3</v>
      </c>
      <c r="T45" s="8">
        <v>3.7644831097579393E-2</v>
      </c>
      <c r="U45" s="6">
        <v>0</v>
      </c>
      <c r="V45">
        <f t="shared" si="3"/>
        <v>0</v>
      </c>
      <c r="W45" s="2" t="s">
        <v>122</v>
      </c>
      <c r="X45" s="2">
        <v>0</v>
      </c>
      <c r="Y45" s="2" t="s">
        <v>124</v>
      </c>
      <c r="Z45" s="2" t="s">
        <v>67</v>
      </c>
      <c r="AA45" s="2">
        <v>0</v>
      </c>
      <c r="AB45" s="2">
        <v>0.02</v>
      </c>
      <c r="AC45" s="2">
        <v>0.14929999999999999</v>
      </c>
      <c r="AD45" s="2">
        <v>1</v>
      </c>
      <c r="AE45">
        <v>1.2500000000000001E-2</v>
      </c>
    </row>
    <row r="46" spans="1:31" ht="15">
      <c r="A46" s="2" t="s">
        <v>131</v>
      </c>
      <c r="B46" s="2" t="s">
        <v>132</v>
      </c>
      <c r="C46" s="2">
        <v>120</v>
      </c>
      <c r="D46" s="2">
        <v>10000</v>
      </c>
      <c r="E46" s="2">
        <v>1094.9999999999998</v>
      </c>
      <c r="F46" s="2">
        <v>0</v>
      </c>
      <c r="G46" s="2">
        <v>0.2</v>
      </c>
      <c r="H46" s="2">
        <v>0.02</v>
      </c>
      <c r="I46" s="2">
        <v>2.0000000000000002E-5</v>
      </c>
      <c r="J46" s="2">
        <v>0.35</v>
      </c>
      <c r="K46" s="2">
        <v>0</v>
      </c>
      <c r="L46" s="2"/>
      <c r="M46" s="2">
        <f t="shared" si="2"/>
        <v>1.0024999999999999</v>
      </c>
      <c r="N46" s="2">
        <v>1.2499999999999956E-2</v>
      </c>
      <c r="O46" s="2">
        <v>0.99</v>
      </c>
      <c r="P46" s="2">
        <v>1.0000000000000009E-2</v>
      </c>
      <c r="Q46" s="2">
        <v>4.9700000000000001E-2</v>
      </c>
      <c r="R46" s="8">
        <v>5.2880451363088277E-2</v>
      </c>
      <c r="S46" s="6">
        <v>1.6E-2</v>
      </c>
      <c r="T46" s="8">
        <v>1.7004247013763178E-2</v>
      </c>
      <c r="U46" s="6">
        <v>7.0000000000000007E-2</v>
      </c>
      <c r="V46">
        <f t="shared" si="3"/>
        <v>2916666.666666667</v>
      </c>
      <c r="W46" s="2" t="s">
        <v>122</v>
      </c>
      <c r="X46" s="2">
        <v>0</v>
      </c>
      <c r="Y46" s="2" t="s">
        <v>124</v>
      </c>
      <c r="Z46" s="2" t="s">
        <v>67</v>
      </c>
      <c r="AA46" s="2">
        <v>0</v>
      </c>
      <c r="AB46" s="2">
        <v>7.1071000000000009E-2</v>
      </c>
      <c r="AC46" s="2">
        <v>0.22999999999999998</v>
      </c>
      <c r="AD46" s="2">
        <v>1</v>
      </c>
      <c r="AE46">
        <v>1.2500000000000001E-2</v>
      </c>
    </row>
    <row r="47" spans="1:31" ht="15">
      <c r="A47" s="2" t="s">
        <v>74</v>
      </c>
      <c r="B47" s="2" t="s">
        <v>75</v>
      </c>
      <c r="C47" s="2">
        <v>120</v>
      </c>
      <c r="D47" s="2">
        <v>10000</v>
      </c>
      <c r="E47" s="2">
        <v>1190</v>
      </c>
      <c r="F47" s="2">
        <v>0</v>
      </c>
      <c r="G47" s="2">
        <v>0.25316222542881223</v>
      </c>
      <c r="H47" s="2">
        <v>0.02</v>
      </c>
      <c r="I47" s="2">
        <v>2.0000000000000002E-5</v>
      </c>
      <c r="J47" s="2">
        <v>0.35</v>
      </c>
      <c r="K47" s="2">
        <v>0</v>
      </c>
      <c r="L47" s="2"/>
      <c r="M47" s="2">
        <f t="shared" si="2"/>
        <v>1.0041651419617721</v>
      </c>
      <c r="N47" s="2">
        <v>1.2499999999999956E-2</v>
      </c>
      <c r="O47" s="2">
        <v>0.99166514196177213</v>
      </c>
      <c r="P47" s="2">
        <v>8.3348580382278659E-3</v>
      </c>
      <c r="Q47" s="2">
        <v>3.8765743595727972E-2</v>
      </c>
      <c r="R47" s="3">
        <v>6.8913731937851885E-2</v>
      </c>
      <c r="S47" s="6">
        <v>1.0749999999999999E-2</v>
      </c>
      <c r="T47" s="8">
        <v>6.4466798453747289E-3</v>
      </c>
      <c r="U47" s="6">
        <v>0</v>
      </c>
      <c r="V47">
        <f t="shared" si="3"/>
        <v>0</v>
      </c>
      <c r="W47" s="2" t="s">
        <v>122</v>
      </c>
      <c r="X47" s="2">
        <v>0</v>
      </c>
      <c r="Y47" s="2" t="s">
        <v>124</v>
      </c>
      <c r="Z47" s="2" t="s">
        <v>67</v>
      </c>
      <c r="AA47" s="2">
        <v>0</v>
      </c>
      <c r="AB47" s="2">
        <v>5.3350000000000009E-2</v>
      </c>
      <c r="AC47" s="2">
        <v>0.22</v>
      </c>
      <c r="AD47" s="2">
        <v>1</v>
      </c>
      <c r="AE47">
        <v>1.2500000000000001E-2</v>
      </c>
    </row>
    <row r="48" spans="1:31" ht="15">
      <c r="A48" s="2" t="s">
        <v>83</v>
      </c>
      <c r="B48" s="2" t="s">
        <v>84</v>
      </c>
      <c r="C48" s="2">
        <v>180</v>
      </c>
      <c r="D48" s="2">
        <v>10000</v>
      </c>
      <c r="E48" s="2">
        <v>1190</v>
      </c>
      <c r="F48" s="2">
        <v>0</v>
      </c>
      <c r="G48" s="2">
        <v>0.18672372431933457</v>
      </c>
      <c r="H48" s="2">
        <v>0.02</v>
      </c>
      <c r="I48" s="2">
        <v>2.0000000000000002E-5</v>
      </c>
      <c r="J48" s="2">
        <v>0.35</v>
      </c>
      <c r="K48" s="2">
        <v>0</v>
      </c>
      <c r="L48" s="2"/>
      <c r="M48" s="2">
        <f t="shared" si="2"/>
        <v>0.97574375841246408</v>
      </c>
      <c r="N48" s="2">
        <v>1.2499999999999956E-2</v>
      </c>
      <c r="O48" s="2">
        <v>0.96324375841246412</v>
      </c>
      <c r="P48" s="2">
        <v>3.6756241587535876E-2</v>
      </c>
      <c r="Q48" s="2">
        <v>3.0122208425701801E-2</v>
      </c>
      <c r="R48" s="8">
        <v>8.5709191030991505E-2</v>
      </c>
      <c r="S48" s="6">
        <v>5.8500000000000002E-3</v>
      </c>
      <c r="T48" s="8">
        <v>1.6127451247601888E-2</v>
      </c>
      <c r="U48" s="6">
        <v>0.06</v>
      </c>
      <c r="V48">
        <f t="shared" si="3"/>
        <v>2499999.9999999995</v>
      </c>
      <c r="W48" s="2" t="s">
        <v>122</v>
      </c>
      <c r="X48" s="2">
        <v>0</v>
      </c>
      <c r="Y48" s="2" t="s">
        <v>124</v>
      </c>
      <c r="Z48" s="2" t="s">
        <v>67</v>
      </c>
      <c r="AA48" s="2">
        <v>0</v>
      </c>
      <c r="AB48" s="2">
        <v>0.04</v>
      </c>
      <c r="AC48" s="2">
        <v>0.16</v>
      </c>
      <c r="AD48" s="2">
        <v>1</v>
      </c>
      <c r="AE48">
        <v>1.2500000000000001E-2</v>
      </c>
    </row>
    <row r="49" spans="1:31" ht="15">
      <c r="A49" s="2" t="s">
        <v>133</v>
      </c>
      <c r="B49" s="2" t="s">
        <v>134</v>
      </c>
      <c r="C49" s="2">
        <v>186</v>
      </c>
      <c r="D49" s="2">
        <v>10000</v>
      </c>
      <c r="E49" s="2">
        <v>1199</v>
      </c>
      <c r="F49" s="2">
        <v>1.71288E-2</v>
      </c>
      <c r="G49" s="2">
        <v>0.23</v>
      </c>
      <c r="H49" s="2">
        <v>0.02</v>
      </c>
      <c r="I49" s="2">
        <v>2.0000000000000002E-5</v>
      </c>
      <c r="J49" s="2">
        <v>0.15</v>
      </c>
      <c r="K49" s="2">
        <v>6</v>
      </c>
      <c r="L49" s="2">
        <v>0.39420056660076597</v>
      </c>
      <c r="M49" s="2">
        <f t="shared" si="2"/>
        <v>0.98500000000000021</v>
      </c>
      <c r="N49" s="2">
        <v>1.2499999999999956E-2</v>
      </c>
      <c r="O49" s="2">
        <v>0.97250000000000025</v>
      </c>
      <c r="P49" s="2">
        <v>2.7499999999999747E-2</v>
      </c>
      <c r="Q49" s="2">
        <v>1.71288E-2</v>
      </c>
      <c r="R49" s="3">
        <v>6.6067704346311373E-2</v>
      </c>
      <c r="S49" s="6">
        <v>3.5E-4</v>
      </c>
      <c r="T49" s="8">
        <v>4.6205685406087672E-3</v>
      </c>
      <c r="U49" s="6">
        <v>0</v>
      </c>
      <c r="V49">
        <f t="shared" si="3"/>
        <v>0</v>
      </c>
      <c r="W49" s="2" t="s">
        <v>122</v>
      </c>
      <c r="X49" s="2" t="s">
        <v>135</v>
      </c>
      <c r="Y49" s="2" t="s">
        <v>124</v>
      </c>
      <c r="Z49" s="2" t="s">
        <v>71</v>
      </c>
      <c r="AA49" s="2">
        <v>2.2267439999999999E-2</v>
      </c>
      <c r="AB49" s="2">
        <v>2.2499999999999999E-2</v>
      </c>
      <c r="AC49" s="2">
        <v>0.26450000000000001</v>
      </c>
      <c r="AD49" s="2">
        <v>1</v>
      </c>
      <c r="AE49">
        <v>1.2500000000000001E-2</v>
      </c>
    </row>
    <row r="50" spans="1:31" ht="15">
      <c r="A50" s="2" t="s">
        <v>136</v>
      </c>
      <c r="B50" s="2" t="s">
        <v>137</v>
      </c>
      <c r="C50" s="2">
        <v>186</v>
      </c>
      <c r="D50" s="2">
        <v>10000</v>
      </c>
      <c r="E50" s="2">
        <v>1249</v>
      </c>
      <c r="F50" s="2">
        <v>2.4400000000000002E-2</v>
      </c>
      <c r="G50" s="2">
        <v>0.23</v>
      </c>
      <c r="H50" s="2">
        <v>0.02</v>
      </c>
      <c r="I50" s="2">
        <v>2.0000000000000002E-5</v>
      </c>
      <c r="J50" s="2">
        <v>0.15</v>
      </c>
      <c r="K50" s="2">
        <v>6</v>
      </c>
      <c r="L50" s="2">
        <v>0.39420056660076597</v>
      </c>
      <c r="M50" s="2">
        <f t="shared" si="2"/>
        <v>0.98500000000000021</v>
      </c>
      <c r="N50" s="2">
        <v>1.2499999999999956E-2</v>
      </c>
      <c r="O50" s="2">
        <v>0.97250000000000025</v>
      </c>
      <c r="P50" s="2">
        <v>2.7499999999999747E-2</v>
      </c>
      <c r="Q50" s="2">
        <v>1.71288E-2</v>
      </c>
      <c r="R50" s="3">
        <v>6.8433102251047373E-2</v>
      </c>
      <c r="S50" s="6">
        <v>1E-4</v>
      </c>
      <c r="T50" s="8">
        <v>7.8997632027836585E-3</v>
      </c>
      <c r="U50" s="6">
        <v>0</v>
      </c>
      <c r="V50">
        <f t="shared" si="3"/>
        <v>0</v>
      </c>
      <c r="W50" s="2" t="s">
        <v>122</v>
      </c>
      <c r="X50" s="2" t="s">
        <v>135</v>
      </c>
      <c r="Y50" s="2" t="s">
        <v>124</v>
      </c>
      <c r="Z50" s="2" t="s">
        <v>71</v>
      </c>
      <c r="AA50" s="2">
        <v>3.1720000000000005E-2</v>
      </c>
      <c r="AB50" s="2">
        <v>2.4494184000000002E-2</v>
      </c>
      <c r="AC50" s="2">
        <v>0.26450000000000001</v>
      </c>
      <c r="AD50" s="2">
        <v>1</v>
      </c>
      <c r="AE50">
        <v>1.2500000000000001E-2</v>
      </c>
    </row>
    <row r="51" spans="1:31" ht="15">
      <c r="A51" s="2" t="s">
        <v>95</v>
      </c>
      <c r="B51" s="2" t="s">
        <v>96</v>
      </c>
      <c r="C51" s="2">
        <v>123</v>
      </c>
      <c r="D51" s="2">
        <v>10000</v>
      </c>
      <c r="E51" s="2">
        <v>1390.0000000000002</v>
      </c>
      <c r="F51" s="2">
        <v>6.5120741180827363E-2</v>
      </c>
      <c r="G51" s="2">
        <v>0.316</v>
      </c>
      <c r="H51" s="2">
        <v>0.02</v>
      </c>
      <c r="I51" s="2">
        <v>2.0000000000000002E-5</v>
      </c>
      <c r="J51" s="2">
        <v>0.35</v>
      </c>
      <c r="K51" s="2">
        <v>3</v>
      </c>
      <c r="L51" s="2">
        <v>0.15622342731096903</v>
      </c>
      <c r="M51" s="2">
        <f t="shared" si="2"/>
        <v>0.95220000000000005</v>
      </c>
      <c r="N51" s="2">
        <v>1.2499999999999956E-2</v>
      </c>
      <c r="O51" s="2">
        <v>0.93970000000000009</v>
      </c>
      <c r="P51" s="2">
        <v>6.0299999999999909E-2</v>
      </c>
      <c r="Q51" s="2">
        <v>6.5120741180827363E-2</v>
      </c>
      <c r="R51" s="3">
        <v>8.0193068421926306E-2</v>
      </c>
      <c r="S51" s="6">
        <v>6.3E-3</v>
      </c>
      <c r="T51" s="8">
        <v>3.7630719577737741E-3</v>
      </c>
      <c r="U51" s="6">
        <v>0</v>
      </c>
      <c r="V51">
        <f t="shared" si="3"/>
        <v>0</v>
      </c>
      <c r="W51" s="2" t="s">
        <v>122</v>
      </c>
      <c r="X51" s="2" t="s">
        <v>138</v>
      </c>
      <c r="Y51" s="2" t="s">
        <v>124</v>
      </c>
      <c r="Z51" s="2" t="s">
        <v>71</v>
      </c>
      <c r="AA51" s="2">
        <v>7.3499999999999996E-2</v>
      </c>
      <c r="AB51" s="2">
        <v>7.7499999999999999E-2</v>
      </c>
      <c r="AC51" s="2">
        <v>0.27</v>
      </c>
      <c r="AD51" s="2">
        <v>1</v>
      </c>
      <c r="AE51">
        <v>1.2500000000000001E-2</v>
      </c>
    </row>
    <row r="52" spans="1:31" ht="15">
      <c r="A52" s="2" t="s">
        <v>139</v>
      </c>
      <c r="B52" s="2" t="s">
        <v>140</v>
      </c>
      <c r="C52" s="2">
        <v>186</v>
      </c>
      <c r="D52" s="2">
        <v>10000</v>
      </c>
      <c r="E52" s="2">
        <v>1399</v>
      </c>
      <c r="F52" s="2">
        <v>3.702192E-2</v>
      </c>
      <c r="G52" s="2">
        <v>0.23</v>
      </c>
      <c r="H52" s="2">
        <v>0.02</v>
      </c>
      <c r="I52" s="2">
        <v>2.0000000000000002E-5</v>
      </c>
      <c r="J52" s="2">
        <v>0.15</v>
      </c>
      <c r="K52" s="2">
        <v>6</v>
      </c>
      <c r="L52" s="2">
        <v>0.39420056660076597</v>
      </c>
      <c r="M52" s="2">
        <f t="shared" si="2"/>
        <v>0.98500000000000021</v>
      </c>
      <c r="N52" s="2">
        <v>1.2499999999999956E-2</v>
      </c>
      <c r="O52" s="2">
        <v>0.97250000000000025</v>
      </c>
      <c r="P52" s="2">
        <v>2.7499999999999747E-2</v>
      </c>
      <c r="Q52" s="2">
        <v>3.702192E-2</v>
      </c>
      <c r="R52" s="8">
        <v>6.3026366165690462E-2</v>
      </c>
      <c r="S52" s="6">
        <v>4.15E-3</v>
      </c>
      <c r="T52" s="8">
        <v>2.7309258295614182E-2</v>
      </c>
      <c r="U52" s="6">
        <v>0.17</v>
      </c>
      <c r="V52">
        <f t="shared" si="3"/>
        <v>7083333.333333333</v>
      </c>
      <c r="W52" s="2" t="s">
        <v>122</v>
      </c>
      <c r="X52" s="2" t="s">
        <v>135</v>
      </c>
      <c r="Y52" s="2" t="s">
        <v>124</v>
      </c>
      <c r="Z52" s="2" t="s">
        <v>71</v>
      </c>
      <c r="AA52" s="2">
        <v>4.8128496E-2</v>
      </c>
      <c r="AB52" s="2">
        <v>5.2941345600000002E-2</v>
      </c>
      <c r="AC52" s="2">
        <v>0.26450000000000001</v>
      </c>
      <c r="AD52" s="2">
        <v>1</v>
      </c>
      <c r="AE52">
        <v>1.2500000000000001E-2</v>
      </c>
    </row>
    <row r="53" spans="1:31" ht="15">
      <c r="A53" s="2" t="s">
        <v>141</v>
      </c>
      <c r="B53" s="2" t="s">
        <v>142</v>
      </c>
      <c r="C53" s="2">
        <v>120</v>
      </c>
      <c r="D53" s="2">
        <v>10000</v>
      </c>
      <c r="E53" s="2">
        <v>1490</v>
      </c>
      <c r="F53" s="2">
        <v>0</v>
      </c>
      <c r="G53" s="2">
        <v>0.16300000000000001</v>
      </c>
      <c r="H53" s="2">
        <v>0.02</v>
      </c>
      <c r="I53" s="2">
        <v>2.0000000000000002E-5</v>
      </c>
      <c r="J53" s="2">
        <v>0.35</v>
      </c>
      <c r="K53" s="2">
        <v>0</v>
      </c>
      <c r="L53" s="2"/>
      <c r="M53" s="2">
        <f t="shared" si="2"/>
        <v>0.93930000000000002</v>
      </c>
      <c r="N53" s="2">
        <v>1.2499999999999956E-2</v>
      </c>
      <c r="O53" s="2">
        <v>0.92680000000000007</v>
      </c>
      <c r="P53" s="2">
        <v>7.3199999999999932E-2</v>
      </c>
      <c r="Q53" s="2">
        <v>9.64E-2</v>
      </c>
      <c r="R53" s="8">
        <v>8.2572117634900799E-2</v>
      </c>
      <c r="S53" s="6">
        <v>5.2049999999999999E-2</v>
      </c>
      <c r="T53" s="8">
        <v>1.6127451247601888E-2</v>
      </c>
      <c r="U53" s="6">
        <v>0.02</v>
      </c>
      <c r="V53">
        <f t="shared" si="3"/>
        <v>833333.33333333326</v>
      </c>
      <c r="W53" s="2" t="s">
        <v>143</v>
      </c>
      <c r="X53" s="2">
        <v>0</v>
      </c>
      <c r="Y53" s="2" t="s">
        <v>124</v>
      </c>
      <c r="Z53" s="2" t="s">
        <v>144</v>
      </c>
      <c r="AA53" s="2">
        <v>0</v>
      </c>
      <c r="AB53" s="2">
        <v>0.10725000000000001</v>
      </c>
      <c r="AC53" s="2">
        <v>0.13</v>
      </c>
      <c r="AD53" s="2">
        <v>1</v>
      </c>
      <c r="AE53">
        <v>1.2500000000000001E-2</v>
      </c>
    </row>
    <row r="54" spans="1:31" ht="15">
      <c r="A54" s="2" t="s">
        <v>109</v>
      </c>
      <c r="B54" s="2" t="s">
        <v>110</v>
      </c>
      <c r="C54" s="2">
        <v>120</v>
      </c>
      <c r="D54" s="2">
        <v>10000</v>
      </c>
      <c r="E54" s="2">
        <v>999</v>
      </c>
      <c r="F54" s="2">
        <v>0</v>
      </c>
      <c r="G54" s="2">
        <v>0.26100000000000001</v>
      </c>
      <c r="H54" s="2">
        <v>0.02</v>
      </c>
      <c r="I54" s="2">
        <v>2.0000000000000002E-5</v>
      </c>
      <c r="J54" s="2">
        <v>0.35</v>
      </c>
      <c r="K54" s="2">
        <v>0</v>
      </c>
      <c r="L54" s="2"/>
      <c r="M54" s="2">
        <f t="shared" si="2"/>
        <v>1.0106983282779098</v>
      </c>
      <c r="N54" s="2">
        <v>1.2499999999999956E-2</v>
      </c>
      <c r="O54" s="2">
        <v>0.99819832827790977</v>
      </c>
      <c r="P54" s="2">
        <v>1.8016717220902256E-3</v>
      </c>
      <c r="Q54" s="2">
        <v>8.2286173657919529E-3</v>
      </c>
      <c r="R54" s="3">
        <v>6.9054696957500994E-2</v>
      </c>
      <c r="S54" s="6">
        <v>3.1600000000000003E-2</v>
      </c>
      <c r="T54" s="8">
        <v>8.3325164779276428E-2</v>
      </c>
      <c r="U54" s="6">
        <v>0</v>
      </c>
      <c r="V54">
        <f t="shared" si="3"/>
        <v>0</v>
      </c>
      <c r="W54" s="2" t="s">
        <v>122</v>
      </c>
      <c r="X54" s="2">
        <v>0</v>
      </c>
      <c r="Y54" s="2" t="s">
        <v>124</v>
      </c>
      <c r="Z54" s="2" t="s">
        <v>67</v>
      </c>
      <c r="AA54" s="2">
        <v>0</v>
      </c>
      <c r="AB54" s="2">
        <v>0.02</v>
      </c>
      <c r="AC54" s="2">
        <v>0.25</v>
      </c>
      <c r="AD54" s="2">
        <v>1</v>
      </c>
      <c r="AE54">
        <v>1.2500000000000001E-2</v>
      </c>
    </row>
    <row r="55" spans="1:31">
      <c r="A55" s="2"/>
      <c r="B55" s="2" t="s">
        <v>90</v>
      </c>
      <c r="C55" s="2">
        <v>120</v>
      </c>
      <c r="D55" s="2">
        <v>10000</v>
      </c>
      <c r="E55" s="2">
        <v>1290</v>
      </c>
      <c r="F55" s="2">
        <v>0</v>
      </c>
      <c r="G55" s="2">
        <v>0.25308277262530238</v>
      </c>
      <c r="H55" s="2">
        <v>0.02</v>
      </c>
      <c r="I55" s="2">
        <v>2.0000000000000002E-5</v>
      </c>
      <c r="J55" s="2">
        <v>0.35</v>
      </c>
      <c r="K55" s="2">
        <v>0</v>
      </c>
      <c r="L55" s="2"/>
      <c r="M55" s="2">
        <v>1.0044999999999999</v>
      </c>
      <c r="N55" s="2">
        <v>1.2499999999999956E-2</v>
      </c>
      <c r="O55" s="2">
        <v>0.99199999999999999</v>
      </c>
      <c r="P55" s="2"/>
      <c r="Q55" s="2">
        <v>2.6718045953897346E-2</v>
      </c>
      <c r="R55" s="3">
        <v>8.7221116940082943E-2</v>
      </c>
      <c r="S55" s="6">
        <v>0</v>
      </c>
      <c r="T55" s="8">
        <v>0</v>
      </c>
      <c r="U55" s="6">
        <v>0</v>
      </c>
      <c r="V55">
        <f t="shared" si="3"/>
        <v>0</v>
      </c>
      <c r="W55" s="2" t="s">
        <v>122</v>
      </c>
      <c r="X55" s="2">
        <v>0</v>
      </c>
      <c r="Y55" s="2" t="s">
        <v>124</v>
      </c>
      <c r="Z55" s="2" t="s">
        <v>67</v>
      </c>
      <c r="AA55" s="2">
        <v>0</v>
      </c>
      <c r="AB55" s="2">
        <v>3.5000000000000003E-2</v>
      </c>
      <c r="AC55" s="2">
        <v>0.18</v>
      </c>
      <c r="AD55" s="2">
        <v>1</v>
      </c>
      <c r="AE55">
        <v>1.2500000000000001E-2</v>
      </c>
    </row>
    <row r="56" spans="1:31">
      <c r="A56" s="2"/>
      <c r="B56" s="2" t="s">
        <v>92</v>
      </c>
      <c r="C56" s="2">
        <v>123</v>
      </c>
      <c r="D56" s="2">
        <v>10000</v>
      </c>
      <c r="E56" s="2">
        <v>1290</v>
      </c>
      <c r="F56" s="2">
        <v>3.1219388962685155E-2</v>
      </c>
      <c r="G56" s="2">
        <v>0.316</v>
      </c>
      <c r="H56" s="2">
        <v>0.02</v>
      </c>
      <c r="I56" s="2">
        <v>2.0000000000000002E-5</v>
      </c>
      <c r="J56" s="2">
        <v>0.35</v>
      </c>
      <c r="K56" s="2">
        <v>3</v>
      </c>
      <c r="L56" s="2"/>
      <c r="M56" s="2">
        <v>0.95379999999999998</v>
      </c>
      <c r="N56" s="2">
        <v>1.2499999999999956E-2</v>
      </c>
      <c r="O56" s="2">
        <f>M56-N56</f>
        <v>0.94130000000000003</v>
      </c>
      <c r="P56" s="2"/>
      <c r="Q56" s="2">
        <v>3.1219388962685155E-2</v>
      </c>
      <c r="R56" s="3">
        <v>9.5565292358839038E-2</v>
      </c>
      <c r="S56" s="6">
        <v>0</v>
      </c>
      <c r="T56" s="8">
        <v>0</v>
      </c>
      <c r="U56" s="6">
        <v>0</v>
      </c>
      <c r="V56">
        <f t="shared" si="3"/>
        <v>0</v>
      </c>
      <c r="W56" s="2" t="s">
        <v>122</v>
      </c>
      <c r="X56" s="2" t="s">
        <v>164</v>
      </c>
      <c r="Y56" s="2" t="s">
        <v>124</v>
      </c>
      <c r="Z56" s="2" t="s">
        <v>71</v>
      </c>
      <c r="AA56" s="2">
        <v>3.9E-2</v>
      </c>
      <c r="AB56" s="2">
        <v>3.9E-2</v>
      </c>
      <c r="AC56" s="2">
        <v>0.25</v>
      </c>
      <c r="AD56" s="2">
        <v>1</v>
      </c>
      <c r="AE56">
        <v>1.2500000000000001E-2</v>
      </c>
    </row>
    <row r="57" spans="1:31">
      <c r="A57" s="2"/>
      <c r="B57" s="2" t="s">
        <v>94</v>
      </c>
      <c r="C57" s="2">
        <v>120</v>
      </c>
      <c r="D57" s="2">
        <v>10000</v>
      </c>
      <c r="E57" s="2">
        <v>1389</v>
      </c>
      <c r="F57" s="2">
        <v>0</v>
      </c>
      <c r="G57" s="2">
        <v>0.25242656001447938</v>
      </c>
      <c r="H57" s="2">
        <v>0.02</v>
      </c>
      <c r="I57" s="2">
        <v>2.0000000000000002E-5</v>
      </c>
      <c r="J57" s="2">
        <v>0.35</v>
      </c>
      <c r="K57" s="2">
        <v>0</v>
      </c>
      <c r="L57" s="2"/>
      <c r="M57" s="2">
        <v>1.0032000000000001</v>
      </c>
      <c r="N57" s="2">
        <v>1.2499999999999956E-2</v>
      </c>
      <c r="O57" s="2">
        <f t="shared" ref="O57:O60" si="4">M57-N57</f>
        <v>0.99070000000000014</v>
      </c>
      <c r="P57" s="2"/>
      <c r="Q57" s="2">
        <v>5.5905887395900321E-2</v>
      </c>
      <c r="R57" s="3">
        <v>7.6100621923808731E-2</v>
      </c>
      <c r="S57" s="6">
        <v>0</v>
      </c>
      <c r="T57" s="8">
        <v>0</v>
      </c>
      <c r="U57" s="6">
        <v>0</v>
      </c>
      <c r="V57">
        <f t="shared" si="3"/>
        <v>0</v>
      </c>
      <c r="W57" s="2" t="s">
        <v>122</v>
      </c>
      <c r="X57" s="2"/>
      <c r="Y57" s="2" t="s">
        <v>124</v>
      </c>
      <c r="Z57" s="2" t="s">
        <v>67</v>
      </c>
      <c r="AA57" s="2">
        <v>0</v>
      </c>
      <c r="AB57" s="2">
        <v>6.7500000000000004E-2</v>
      </c>
      <c r="AC57" s="2">
        <v>0.21</v>
      </c>
      <c r="AD57" s="2">
        <v>1</v>
      </c>
      <c r="AE57">
        <v>1.2500000000000001E-2</v>
      </c>
    </row>
    <row r="58" spans="1:31">
      <c r="A58" s="2"/>
      <c r="B58" s="2" t="s">
        <v>163</v>
      </c>
      <c r="C58" s="2">
        <v>126</v>
      </c>
      <c r="D58" s="2">
        <v>10000</v>
      </c>
      <c r="E58" s="2">
        <v>999</v>
      </c>
      <c r="F58" s="2">
        <v>7.5150626182221986E-3</v>
      </c>
      <c r="G58" s="2">
        <v>0.316</v>
      </c>
      <c r="H58" s="2">
        <v>0.02</v>
      </c>
      <c r="I58" s="2">
        <v>2.0000000000000002E-5</v>
      </c>
      <c r="J58" s="2">
        <v>0.35</v>
      </c>
      <c r="K58" s="2">
        <v>6</v>
      </c>
      <c r="L58" s="2"/>
      <c r="M58" s="2">
        <v>0.96789999999999998</v>
      </c>
      <c r="N58" s="2">
        <v>1.2499999999999956E-2</v>
      </c>
      <c r="O58" s="2">
        <f t="shared" si="4"/>
        <v>0.95540000000000003</v>
      </c>
      <c r="P58" s="2"/>
      <c r="Q58" s="2">
        <v>7.5150626182221986E-3</v>
      </c>
      <c r="R58" s="3">
        <v>6.7641856485843199E-2</v>
      </c>
      <c r="S58" s="6">
        <v>0</v>
      </c>
      <c r="T58" s="8">
        <v>0</v>
      </c>
      <c r="U58" s="6">
        <v>0</v>
      </c>
      <c r="V58">
        <f t="shared" si="3"/>
        <v>0</v>
      </c>
      <c r="W58" s="2" t="s">
        <v>122</v>
      </c>
      <c r="X58" s="2"/>
      <c r="Y58" s="2" t="s">
        <v>124</v>
      </c>
      <c r="Z58" s="2" t="s">
        <v>71</v>
      </c>
      <c r="AA58" s="2">
        <v>0.03</v>
      </c>
      <c r="AB58" s="2">
        <v>0.03</v>
      </c>
      <c r="AC58" s="2">
        <v>0.28000000000000003</v>
      </c>
      <c r="AD58" s="2">
        <v>1</v>
      </c>
      <c r="AE58">
        <v>1.2500000000000001E-2</v>
      </c>
    </row>
    <row r="59" spans="1:31">
      <c r="A59" s="2"/>
      <c r="B59" s="2" t="s">
        <v>118</v>
      </c>
      <c r="C59" s="2">
        <v>36</v>
      </c>
      <c r="D59" s="2">
        <v>10000</v>
      </c>
      <c r="E59" s="2">
        <v>0</v>
      </c>
      <c r="F59" s="2">
        <v>0</v>
      </c>
      <c r="G59" s="2">
        <v>0.214</v>
      </c>
      <c r="H59" s="2">
        <v>0.02</v>
      </c>
      <c r="I59" s="2">
        <v>2.0000000000000002E-5</v>
      </c>
      <c r="J59" s="2">
        <v>0.35</v>
      </c>
      <c r="K59" s="2">
        <v>0</v>
      </c>
      <c r="L59" s="2"/>
      <c r="M59" s="2">
        <v>0.88970000000000005</v>
      </c>
      <c r="N59" s="2">
        <v>1.2499999999999956E-2</v>
      </c>
      <c r="O59" s="2">
        <f t="shared" si="4"/>
        <v>0.87720000000000009</v>
      </c>
      <c r="P59" s="2"/>
      <c r="Q59" s="2">
        <v>1.2745879517815056E-2</v>
      </c>
      <c r="R59" s="3">
        <v>6.6835709640725049E-2</v>
      </c>
      <c r="S59" s="6">
        <v>0</v>
      </c>
      <c r="T59" s="8">
        <v>0</v>
      </c>
      <c r="U59" s="6">
        <v>0</v>
      </c>
      <c r="V59">
        <f t="shared" si="3"/>
        <v>0</v>
      </c>
      <c r="W59" s="2" t="s">
        <v>122</v>
      </c>
      <c r="X59" s="2"/>
      <c r="Y59" s="2" t="s">
        <v>124</v>
      </c>
      <c r="Z59" s="2" t="s">
        <v>119</v>
      </c>
      <c r="AA59" s="2">
        <v>0</v>
      </c>
      <c r="AB59" s="2">
        <v>2.8000000000000001E-2</v>
      </c>
      <c r="AC59" s="2">
        <v>0.18</v>
      </c>
      <c r="AD59" s="2">
        <v>1</v>
      </c>
      <c r="AE59">
        <v>1.2500000000000001E-2</v>
      </c>
    </row>
    <row r="60" spans="1:31">
      <c r="A60" s="2"/>
      <c r="B60" s="2" t="s">
        <v>121</v>
      </c>
      <c r="C60" s="2">
        <v>60</v>
      </c>
      <c r="D60" s="2">
        <v>10000</v>
      </c>
      <c r="E60" s="2">
        <v>0</v>
      </c>
      <c r="F60" s="2">
        <v>0</v>
      </c>
      <c r="G60" s="2">
        <v>0.13900000000000001</v>
      </c>
      <c r="H60" s="2">
        <v>0.02</v>
      </c>
      <c r="I60" s="2">
        <v>2.0000000000000002E-5</v>
      </c>
      <c r="J60" s="2">
        <v>0.35</v>
      </c>
      <c r="K60" s="2">
        <v>0</v>
      </c>
      <c r="L60" s="2"/>
      <c r="M60" s="2">
        <v>0.86829999999999996</v>
      </c>
      <c r="N60" s="2">
        <v>1.2499999999999956E-2</v>
      </c>
      <c r="O60" s="2">
        <f t="shared" si="4"/>
        <v>0.85580000000000001</v>
      </c>
      <c r="P60" s="2"/>
      <c r="Q60" s="2">
        <v>1.5293939643738309E-2</v>
      </c>
      <c r="R60" s="3">
        <v>4.028058892865527E-2</v>
      </c>
      <c r="S60" s="6">
        <v>0</v>
      </c>
      <c r="T60" s="8">
        <v>0</v>
      </c>
      <c r="U60" s="6">
        <v>0</v>
      </c>
      <c r="V60">
        <f t="shared" si="3"/>
        <v>0</v>
      </c>
      <c r="W60" s="2" t="s">
        <v>122</v>
      </c>
      <c r="X60" s="2"/>
      <c r="Y60" s="2" t="s">
        <v>124</v>
      </c>
      <c r="Z60" s="2" t="s">
        <v>119</v>
      </c>
      <c r="AA60" s="2">
        <v>0</v>
      </c>
      <c r="AB60" s="2">
        <v>0.02</v>
      </c>
      <c r="AC60" s="2">
        <v>0.12</v>
      </c>
      <c r="AD60" s="2">
        <v>1</v>
      </c>
      <c r="AE60">
        <v>1.2500000000000001E-2</v>
      </c>
    </row>
  </sheetData>
  <autoFilter ref="V1:V54" xr:uid="{80DE9005-050F-4851-ACC7-072C229C1BBA}"/>
  <sortState xmlns:xlrd2="http://schemas.microsoft.com/office/spreadsheetml/2017/richdata2" ref="A2:AE54">
    <sortCondition ref="Y2:Y54"/>
    <sortCondition ref="B2:B5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66BF-E1C9-4B99-AC9D-E57974E4D538}">
  <dimension ref="A1:E2"/>
  <sheetViews>
    <sheetView tabSelected="1" workbookViewId="0">
      <selection activeCell="I8" sqref="I8"/>
    </sheetView>
  </sheetViews>
  <sheetFormatPr defaultRowHeight="13.8"/>
  <sheetData>
    <row r="1" spans="1:5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spans="1:5">
      <c r="A2">
        <v>1</v>
      </c>
      <c r="B2">
        <v>1</v>
      </c>
      <c r="C2">
        <v>1</v>
      </c>
      <c r="D2">
        <v>1</v>
      </c>
      <c r="E2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E177-37DA-47A3-934D-3BB5C2A82491}">
  <dimension ref="A1:F13"/>
  <sheetViews>
    <sheetView workbookViewId="0">
      <selection activeCell="F12" sqref="A1:F13"/>
    </sheetView>
  </sheetViews>
  <sheetFormatPr defaultRowHeight="13.8"/>
  <cols>
    <col min="1" max="1" width="21.8984375" bestFit="1" customWidth="1"/>
    <col min="2" max="2" width="21.09765625" bestFit="1" customWidth="1"/>
    <col min="3" max="3" width="15.09765625" bestFit="1" customWidth="1"/>
    <col min="4" max="4" width="17.8984375" bestFit="1" customWidth="1"/>
    <col min="5" max="5" width="7.3984375" bestFit="1" customWidth="1"/>
    <col min="6" max="6" width="12.09765625" bestFit="1" customWidth="1"/>
  </cols>
  <sheetData>
    <row r="1" spans="1:6">
      <c r="A1" t="s">
        <v>0</v>
      </c>
      <c r="B1" t="s">
        <v>1</v>
      </c>
      <c r="C1" s="7" t="s">
        <v>145</v>
      </c>
      <c r="D1" s="5" t="s">
        <v>20</v>
      </c>
      <c r="E1" t="s">
        <v>22</v>
      </c>
      <c r="F1" t="s">
        <v>25</v>
      </c>
    </row>
    <row r="2" spans="1:6">
      <c r="A2" t="s">
        <v>39</v>
      </c>
      <c r="B2" t="s">
        <v>40</v>
      </c>
      <c r="C2" s="5">
        <v>1.295E-2</v>
      </c>
      <c r="D2" s="5">
        <v>0.05</v>
      </c>
      <c r="E2" t="s">
        <v>33</v>
      </c>
      <c r="F2" t="s">
        <v>36</v>
      </c>
    </row>
    <row r="3" spans="1:6">
      <c r="A3" t="s">
        <v>56</v>
      </c>
      <c r="B3" t="s">
        <v>57</v>
      </c>
      <c r="C3" s="5">
        <v>3.5299999999999998E-2</v>
      </c>
      <c r="D3" s="5">
        <v>0.08</v>
      </c>
      <c r="E3" t="s">
        <v>33</v>
      </c>
      <c r="F3" t="s">
        <v>55</v>
      </c>
    </row>
    <row r="4" spans="1:6">
      <c r="A4" t="s">
        <v>83</v>
      </c>
      <c r="B4" t="s">
        <v>84</v>
      </c>
      <c r="C4" s="5">
        <v>1.8500000000000001E-3</v>
      </c>
      <c r="D4" s="5">
        <v>7.0000000000000007E-2</v>
      </c>
      <c r="E4" t="s">
        <v>33</v>
      </c>
      <c r="F4" t="s">
        <v>67</v>
      </c>
    </row>
    <row r="5" spans="1:6">
      <c r="A5" t="s">
        <v>89</v>
      </c>
      <c r="B5" t="s">
        <v>90</v>
      </c>
      <c r="C5" s="5">
        <v>8.5000000000000006E-3</v>
      </c>
      <c r="D5" s="5">
        <v>0.03</v>
      </c>
      <c r="E5" t="s">
        <v>33</v>
      </c>
      <c r="F5" t="s">
        <v>67</v>
      </c>
    </row>
    <row r="6" spans="1:6">
      <c r="A6" t="s">
        <v>107</v>
      </c>
      <c r="B6" t="s">
        <v>108</v>
      </c>
      <c r="C6" s="5">
        <v>1.1000000000000001E-3</v>
      </c>
      <c r="D6" s="5">
        <v>0.18</v>
      </c>
      <c r="E6" t="s">
        <v>33</v>
      </c>
      <c r="F6" t="s">
        <v>71</v>
      </c>
    </row>
    <row r="7" spans="1:6">
      <c r="A7" t="s">
        <v>120</v>
      </c>
      <c r="B7" t="s">
        <v>121</v>
      </c>
      <c r="C7" s="5">
        <v>5.5350000000000003E-2</v>
      </c>
      <c r="D7" s="5">
        <v>0.09</v>
      </c>
      <c r="E7" t="s">
        <v>33</v>
      </c>
      <c r="F7" t="s">
        <v>119</v>
      </c>
    </row>
    <row r="8" spans="1:6">
      <c r="A8" s="2" t="s">
        <v>39</v>
      </c>
      <c r="B8" s="2" t="s">
        <v>40</v>
      </c>
      <c r="C8" s="6">
        <v>0.1951</v>
      </c>
      <c r="D8" s="6">
        <v>0.05</v>
      </c>
      <c r="E8" s="2" t="s">
        <v>122</v>
      </c>
      <c r="F8" s="2" t="s">
        <v>36</v>
      </c>
    </row>
    <row r="9" spans="1:6">
      <c r="A9" s="2" t="s">
        <v>127</v>
      </c>
      <c r="B9" s="2" t="s">
        <v>128</v>
      </c>
      <c r="C9" s="6">
        <v>8.4849999999999995E-2</v>
      </c>
      <c r="D9" s="6">
        <v>0.13</v>
      </c>
      <c r="E9" s="2" t="s">
        <v>122</v>
      </c>
      <c r="F9" s="2" t="s">
        <v>55</v>
      </c>
    </row>
    <row r="10" spans="1:6">
      <c r="A10" s="2" t="s">
        <v>131</v>
      </c>
      <c r="B10" s="2" t="s">
        <v>132</v>
      </c>
      <c r="C10" s="6">
        <v>1.6E-2</v>
      </c>
      <c r="D10" s="6">
        <v>7.0000000000000007E-2</v>
      </c>
      <c r="E10" s="2" t="s">
        <v>122</v>
      </c>
      <c r="F10" s="2" t="s">
        <v>67</v>
      </c>
    </row>
    <row r="11" spans="1:6">
      <c r="A11" s="2" t="s">
        <v>83</v>
      </c>
      <c r="B11" s="2" t="s">
        <v>84</v>
      </c>
      <c r="C11" s="6">
        <v>5.8500000000000002E-3</v>
      </c>
      <c r="D11" s="6">
        <v>0.06</v>
      </c>
      <c r="E11" s="2" t="s">
        <v>122</v>
      </c>
      <c r="F11" s="2" t="s">
        <v>67</v>
      </c>
    </row>
    <row r="12" spans="1:6">
      <c r="A12" s="2" t="s">
        <v>139</v>
      </c>
      <c r="B12" s="2" t="s">
        <v>140</v>
      </c>
      <c r="C12" s="6">
        <v>4.15E-3</v>
      </c>
      <c r="D12" s="6">
        <v>0.17</v>
      </c>
      <c r="E12" s="2" t="s">
        <v>122</v>
      </c>
      <c r="F12" s="2" t="s">
        <v>71</v>
      </c>
    </row>
    <row r="13" spans="1:6">
      <c r="A13" s="2" t="s">
        <v>141</v>
      </c>
      <c r="B13" s="2" t="s">
        <v>142</v>
      </c>
      <c r="C13" s="6">
        <v>5.2049999999999999E-2</v>
      </c>
      <c r="D13" s="6">
        <v>0.02</v>
      </c>
      <c r="E13" s="2" t="s">
        <v>143</v>
      </c>
      <c r="F13" s="2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542F-DF9A-4342-927E-3C5ED6BCDCC5}">
  <dimension ref="A1:C13"/>
  <sheetViews>
    <sheetView zoomScale="130" zoomScaleNormal="130" workbookViewId="0">
      <selection activeCell="F1" sqref="F1:J1048576"/>
    </sheetView>
  </sheetViews>
  <sheetFormatPr defaultRowHeight="13.8"/>
  <cols>
    <col min="1" max="1" width="19.59765625" bestFit="1" customWidth="1"/>
    <col min="2" max="2" width="6.8984375" bestFit="1" customWidth="1"/>
    <col min="3" max="3" width="6.59765625" bestFit="1" customWidth="1"/>
  </cols>
  <sheetData>
    <row r="1" spans="1:3">
      <c r="A1" s="9" t="s">
        <v>1</v>
      </c>
      <c r="B1" s="10" t="s">
        <v>18</v>
      </c>
      <c r="C1" s="9" t="s">
        <v>22</v>
      </c>
    </row>
    <row r="2" spans="1:3">
      <c r="A2" s="9" t="s">
        <v>40</v>
      </c>
      <c r="B2" s="10">
        <v>0.05</v>
      </c>
      <c r="C2" s="9" t="s">
        <v>33</v>
      </c>
    </row>
    <row r="3" spans="1:3">
      <c r="A3" s="9" t="s">
        <v>57</v>
      </c>
      <c r="B3" s="10">
        <v>0.08</v>
      </c>
      <c r="C3" s="9" t="s">
        <v>33</v>
      </c>
    </row>
    <row r="4" spans="1:3">
      <c r="A4" s="9" t="s">
        <v>84</v>
      </c>
      <c r="B4" s="10">
        <v>7.0000000000000007E-2</v>
      </c>
      <c r="C4" s="9" t="s">
        <v>33</v>
      </c>
    </row>
    <row r="5" spans="1:3">
      <c r="A5" s="9" t="s">
        <v>90</v>
      </c>
      <c r="B5" s="10">
        <v>0.03</v>
      </c>
      <c r="C5" s="9" t="s">
        <v>33</v>
      </c>
    </row>
    <row r="6" spans="1:3">
      <c r="A6" s="9" t="s">
        <v>108</v>
      </c>
      <c r="B6" s="10">
        <v>0.18</v>
      </c>
      <c r="C6" s="9" t="s">
        <v>33</v>
      </c>
    </row>
    <row r="7" spans="1:3">
      <c r="A7" s="9" t="s">
        <v>121</v>
      </c>
      <c r="B7" s="10">
        <v>0.09</v>
      </c>
      <c r="C7" s="9" t="s">
        <v>33</v>
      </c>
    </row>
    <row r="8" spans="1:3">
      <c r="A8" s="11" t="s">
        <v>40</v>
      </c>
      <c r="B8" s="12">
        <v>0.05</v>
      </c>
      <c r="C8" s="11" t="s">
        <v>122</v>
      </c>
    </row>
    <row r="9" spans="1:3">
      <c r="A9" s="11" t="s">
        <v>128</v>
      </c>
      <c r="B9" s="12">
        <v>0.13</v>
      </c>
      <c r="C9" s="11" t="s">
        <v>122</v>
      </c>
    </row>
    <row r="10" spans="1:3">
      <c r="A10" s="11" t="s">
        <v>132</v>
      </c>
      <c r="B10" s="12">
        <v>7.0000000000000007E-2</v>
      </c>
      <c r="C10" s="11" t="s">
        <v>122</v>
      </c>
    </row>
    <row r="11" spans="1:3">
      <c r="A11" s="11" t="s">
        <v>84</v>
      </c>
      <c r="B11" s="12">
        <v>0.06</v>
      </c>
      <c r="C11" s="11" t="s">
        <v>122</v>
      </c>
    </row>
    <row r="12" spans="1:3">
      <c r="A12" s="11" t="s">
        <v>140</v>
      </c>
      <c r="B12" s="12">
        <v>0.17</v>
      </c>
      <c r="C12" s="11" t="s">
        <v>122</v>
      </c>
    </row>
    <row r="13" spans="1:3">
      <c r="A13" s="11" t="s">
        <v>142</v>
      </c>
      <c r="B13" s="12">
        <v>0.02</v>
      </c>
      <c r="C13" s="1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A209-BFB4-485D-A8A0-E02F18F0DA6D}">
  <dimension ref="A1:W54"/>
  <sheetViews>
    <sheetView workbookViewId="0">
      <selection activeCell="S2" sqref="S2:S54"/>
    </sheetView>
  </sheetViews>
  <sheetFormatPr defaultColWidth="20.09765625" defaultRowHeight="13.8"/>
  <cols>
    <col min="2" max="2" width="8.59765625" bestFit="1" customWidth="1"/>
    <col min="3" max="3" width="21.8984375" bestFit="1" customWidth="1"/>
    <col min="4" max="4" width="25.59765625" bestFit="1" customWidth="1"/>
    <col min="5" max="5" width="15.59765625" bestFit="1" customWidth="1"/>
    <col min="6" max="6" width="16.69921875" bestFit="1" customWidth="1"/>
    <col min="7" max="7" width="26.59765625" bestFit="1" customWidth="1"/>
    <col min="8" max="8" width="19.8984375" bestFit="1" customWidth="1"/>
    <col min="9" max="9" width="13.3984375" bestFit="1" customWidth="1"/>
    <col min="10" max="10" width="18.8984375" bestFit="1" customWidth="1"/>
    <col min="11" max="11" width="17.69921875" bestFit="1" customWidth="1"/>
    <col min="12" max="12" width="23.3984375" bestFit="1" customWidth="1"/>
    <col min="13" max="13" width="24.296875" bestFit="1" customWidth="1"/>
    <col min="14" max="14" width="15.3984375" bestFit="1" customWidth="1"/>
    <col min="15" max="15" width="15.59765625" bestFit="1" customWidth="1"/>
    <col min="16" max="16" width="18" bestFit="1" customWidth="1"/>
    <col min="17" max="17" width="17.8984375" bestFit="1" customWidth="1"/>
    <col min="18" max="18" width="27.296875" bestFit="1" customWidth="1"/>
    <col min="19" max="19" width="24" bestFit="1" customWidth="1"/>
    <col min="20" max="20" width="12" bestFit="1" customWidth="1"/>
  </cols>
  <sheetData>
    <row r="1" spans="1:23">
      <c r="A1" s="2" t="s">
        <v>146</v>
      </c>
      <c r="B1" s="2" t="s">
        <v>24</v>
      </c>
      <c r="C1" s="2" t="s">
        <v>0</v>
      </c>
      <c r="D1" s="2" t="s">
        <v>147</v>
      </c>
      <c r="E1" s="2" t="s">
        <v>3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11</v>
      </c>
      <c r="N1" s="2" t="s">
        <v>155</v>
      </c>
      <c r="O1" s="2" t="s">
        <v>13</v>
      </c>
      <c r="P1" s="2" t="s">
        <v>14</v>
      </c>
      <c r="Q1" s="2" t="s">
        <v>15</v>
      </c>
      <c r="R1" s="2" t="s">
        <v>156</v>
      </c>
      <c r="S1" s="2" t="s">
        <v>157</v>
      </c>
      <c r="T1" s="2" t="s">
        <v>18</v>
      </c>
      <c r="V1" s="4"/>
      <c r="W1" s="4"/>
    </row>
    <row r="2" spans="1:23">
      <c r="A2" t="str">
        <f>VLOOKUP(C2,portfolio_7_50!$A$2:$B$38,2,FALSE)</f>
        <v>12 Mth WPDI</v>
      </c>
      <c r="B2" t="s">
        <v>33</v>
      </c>
      <c r="C2" t="s">
        <v>31</v>
      </c>
      <c r="D2">
        <v>58</v>
      </c>
      <c r="E2">
        <v>10000</v>
      </c>
      <c r="F2">
        <v>0.21360000000000001</v>
      </c>
      <c r="G2">
        <v>2.47E-2</v>
      </c>
      <c r="H2">
        <v>0.28029999999999999</v>
      </c>
      <c r="I2">
        <v>0.02</v>
      </c>
      <c r="J2">
        <v>2.0000000000000002E-5</v>
      </c>
      <c r="K2">
        <v>0.35</v>
      </c>
      <c r="L2">
        <v>12</v>
      </c>
      <c r="M2">
        <v>0.75340353056285614</v>
      </c>
      <c r="N2">
        <v>0.95499999999999996</v>
      </c>
      <c r="O2">
        <v>1.2499999999999956E-2</v>
      </c>
      <c r="P2">
        <v>0.9425</v>
      </c>
      <c r="Q2">
        <v>5.7499999999999996E-2</v>
      </c>
      <c r="R2">
        <v>3.9100000000000003E-2</v>
      </c>
      <c r="S2">
        <v>0.12920518104065692</v>
      </c>
      <c r="T2">
        <v>2.534219433830397E-2</v>
      </c>
    </row>
    <row r="3" spans="1:23">
      <c r="A3" t="str">
        <f>VLOOKUP(C3,portfolio_7_50!$A$2:$B$38,2,FALSE)</f>
        <v>12 Mth WPDI - 2395</v>
      </c>
      <c r="B3" t="s">
        <v>33</v>
      </c>
      <c r="C3" t="s">
        <v>37</v>
      </c>
      <c r="D3">
        <v>58</v>
      </c>
      <c r="E3">
        <v>10000</v>
      </c>
      <c r="F3">
        <v>0.20219999999999999</v>
      </c>
      <c r="G3">
        <v>3.1199999999999999E-2</v>
      </c>
      <c r="H3">
        <v>0.23599999999999999</v>
      </c>
      <c r="I3">
        <v>0.02</v>
      </c>
      <c r="J3">
        <v>2.0000000000000002E-5</v>
      </c>
      <c r="K3">
        <v>0.35</v>
      </c>
      <c r="L3">
        <v>12</v>
      </c>
      <c r="M3">
        <v>0.75340353056285614</v>
      </c>
      <c r="N3">
        <v>0.96749999999999992</v>
      </c>
      <c r="O3">
        <v>1.2499999999999956E-2</v>
      </c>
      <c r="P3">
        <v>0.95499999999999996</v>
      </c>
      <c r="Q3">
        <v>4.500000000000004E-2</v>
      </c>
      <c r="R3">
        <v>3.1199999999999999E-2</v>
      </c>
      <c r="S3">
        <v>0.10617215604022512</v>
      </c>
      <c r="T3">
        <v>3.6001693746751584E-3</v>
      </c>
    </row>
    <row r="4" spans="1:23">
      <c r="A4" t="str">
        <f>VLOOKUP(C4,portfolio_7_50!$A$2:$B$38,2,FALSE)</f>
        <v>18 Mth WPDI</v>
      </c>
      <c r="B4" t="s">
        <v>33</v>
      </c>
      <c r="C4" t="s">
        <v>39</v>
      </c>
      <c r="D4">
        <v>59</v>
      </c>
      <c r="E4">
        <v>10000</v>
      </c>
      <c r="F4">
        <v>0.21360000000000001</v>
      </c>
      <c r="G4">
        <v>1.8599999999999998E-2</v>
      </c>
      <c r="H4">
        <v>0.27050000000000002</v>
      </c>
      <c r="I4">
        <v>0.02</v>
      </c>
      <c r="J4">
        <v>2.0000000000000002E-5</v>
      </c>
      <c r="K4">
        <v>0.35</v>
      </c>
      <c r="L4">
        <v>18</v>
      </c>
      <c r="M4">
        <v>0.78556326466517168</v>
      </c>
      <c r="N4">
        <v>0.95949999999999991</v>
      </c>
      <c r="O4">
        <v>1.2499999999999956E-2</v>
      </c>
      <c r="P4">
        <v>0.94699999999999995</v>
      </c>
      <c r="Q4">
        <v>5.3000000000000047E-2</v>
      </c>
      <c r="R4">
        <v>5.3100000000000001E-2</v>
      </c>
      <c r="S4">
        <v>9.6218475904263912E-2</v>
      </c>
      <c r="T4">
        <v>1.2974055053262747E-2</v>
      </c>
    </row>
    <row r="5" spans="1:23">
      <c r="A5" t="str">
        <f>VLOOKUP(C5,portfolio_7_50!$A$2:$B$38,2,FALSE)</f>
        <v>18 Mth WPDI - 2395</v>
      </c>
      <c r="B5" t="s">
        <v>33</v>
      </c>
      <c r="C5" t="s">
        <v>42</v>
      </c>
      <c r="D5">
        <v>58</v>
      </c>
      <c r="E5">
        <v>10000</v>
      </c>
      <c r="F5">
        <v>0.20219999999999999</v>
      </c>
      <c r="G5">
        <v>1.5800000000000002E-2</v>
      </c>
      <c r="H5">
        <v>0.2591</v>
      </c>
      <c r="I5">
        <v>0.02</v>
      </c>
      <c r="J5">
        <v>2.0000000000000002E-5</v>
      </c>
      <c r="K5">
        <v>0.35</v>
      </c>
      <c r="L5">
        <v>18</v>
      </c>
      <c r="M5">
        <v>0.78556326466517168</v>
      </c>
      <c r="N5">
        <v>0.9425</v>
      </c>
      <c r="O5">
        <v>1.2499999999999956E-2</v>
      </c>
      <c r="P5">
        <v>0.93</v>
      </c>
      <c r="Q5">
        <v>6.9999999999999951E-2</v>
      </c>
      <c r="R5">
        <v>4.3799999999999999E-2</v>
      </c>
      <c r="S5">
        <v>0.11215601364232874</v>
      </c>
      <c r="T5">
        <v>3.5236354233975304E-4</v>
      </c>
    </row>
    <row r="6" spans="1:23">
      <c r="A6" t="str">
        <f>VLOOKUP(C6,portfolio_7_50!$A$2:$B$38,2,FALSE)</f>
        <v>24 Mth WPDI</v>
      </c>
      <c r="B6" t="s">
        <v>33</v>
      </c>
      <c r="C6" t="s">
        <v>44</v>
      </c>
      <c r="D6">
        <v>59</v>
      </c>
      <c r="E6">
        <v>10000</v>
      </c>
      <c r="F6">
        <v>0.21360000000000001</v>
      </c>
      <c r="G6">
        <v>2.9100000000000001E-2</v>
      </c>
      <c r="H6">
        <v>0.1948</v>
      </c>
      <c r="I6">
        <v>0.02</v>
      </c>
      <c r="J6">
        <v>2.0000000000000002E-5</v>
      </c>
      <c r="K6">
        <v>0.35</v>
      </c>
      <c r="L6">
        <v>24</v>
      </c>
      <c r="M6">
        <v>0.81138876520965009</v>
      </c>
      <c r="N6">
        <v>0.92919999999999991</v>
      </c>
      <c r="O6">
        <v>1.2499999999999956E-2</v>
      </c>
      <c r="P6">
        <v>0.91669999999999996</v>
      </c>
      <c r="Q6">
        <v>8.3300000000000041E-2</v>
      </c>
      <c r="R6">
        <v>1.23E-2</v>
      </c>
      <c r="S6">
        <v>0.10321129859987899</v>
      </c>
      <c r="T6">
        <v>1.2781293612172365E-3</v>
      </c>
    </row>
    <row r="7" spans="1:23">
      <c r="A7" t="str">
        <f>VLOOKUP(C7,portfolio_7_50!$A$2:$B$38,2,FALSE)</f>
        <v>24 Mth WPDI - 2395</v>
      </c>
      <c r="B7" t="s">
        <v>33</v>
      </c>
      <c r="C7" t="s">
        <v>47</v>
      </c>
      <c r="D7">
        <v>58</v>
      </c>
      <c r="E7">
        <v>10000</v>
      </c>
      <c r="F7">
        <v>0.19309999999999999</v>
      </c>
      <c r="G7">
        <v>1.9900000000000001E-2</v>
      </c>
      <c r="H7">
        <v>0.16070000000000001</v>
      </c>
      <c r="I7">
        <v>0.02</v>
      </c>
      <c r="J7">
        <v>2.0000000000000002E-5</v>
      </c>
      <c r="K7">
        <v>0.35</v>
      </c>
      <c r="L7">
        <v>24</v>
      </c>
      <c r="M7">
        <v>0.81138876520965009</v>
      </c>
      <c r="N7">
        <v>0.92249999999999999</v>
      </c>
      <c r="O7">
        <v>1.2499999999999956E-2</v>
      </c>
      <c r="P7">
        <v>0.91</v>
      </c>
      <c r="Q7">
        <v>8.9999999999999969E-2</v>
      </c>
      <c r="R7">
        <v>2.2599999999999999E-2</v>
      </c>
      <c r="S7">
        <v>0.10872926145106021</v>
      </c>
      <c r="T7">
        <v>3.7542521918582073E-4</v>
      </c>
    </row>
    <row r="8" spans="1:23">
      <c r="A8" t="str">
        <f>VLOOKUP(C8,portfolio_7_50!$A$2:$B$38,2,FALSE)</f>
        <v>6 Mth WPDI</v>
      </c>
      <c r="B8" t="s">
        <v>33</v>
      </c>
      <c r="C8" t="s">
        <v>49</v>
      </c>
      <c r="D8">
        <v>57</v>
      </c>
      <c r="E8">
        <v>10000</v>
      </c>
      <c r="F8">
        <v>0.21360000000000001</v>
      </c>
      <c r="G8">
        <v>6.0100000000000001E-2</v>
      </c>
      <c r="H8">
        <v>0.2243</v>
      </c>
      <c r="I8">
        <v>0.02</v>
      </c>
      <c r="J8">
        <v>2.0000000000000002E-5</v>
      </c>
      <c r="K8">
        <v>0.35</v>
      </c>
      <c r="L8">
        <v>6</v>
      </c>
      <c r="M8">
        <v>0.60178708556371641</v>
      </c>
      <c r="N8">
        <v>0.97789999999999999</v>
      </c>
      <c r="O8">
        <v>1.2499999999999956E-2</v>
      </c>
      <c r="P8">
        <v>0.96540000000000004</v>
      </c>
      <c r="Q8">
        <v>3.4599999999999964E-2</v>
      </c>
      <c r="R8">
        <v>2.1299999999999999E-2</v>
      </c>
      <c r="S8">
        <v>0.14802475840921048</v>
      </c>
      <c r="T8">
        <v>3.3073656689063587E-3</v>
      </c>
    </row>
    <row r="9" spans="1:23">
      <c r="A9" t="str">
        <f>VLOOKUP(C9,portfolio_7_50!$A$2:$B$38,2,FALSE)</f>
        <v>NINP - 10 Mo</v>
      </c>
      <c r="B9" t="s">
        <v>33</v>
      </c>
      <c r="C9" t="s">
        <v>52</v>
      </c>
      <c r="D9">
        <v>85</v>
      </c>
      <c r="E9">
        <v>10000</v>
      </c>
      <c r="F9">
        <v>0.2145</v>
      </c>
      <c r="G9">
        <v>1.55E-2</v>
      </c>
      <c r="H9">
        <v>0.40749999999999997</v>
      </c>
      <c r="I9">
        <v>0.02</v>
      </c>
      <c r="J9">
        <v>2.0000000000000002E-5</v>
      </c>
      <c r="K9">
        <v>0.35</v>
      </c>
      <c r="L9">
        <v>10</v>
      </c>
      <c r="M9">
        <v>0.77029999999999998</v>
      </c>
      <c r="N9">
        <v>0.95789999999999997</v>
      </c>
      <c r="O9">
        <v>1.2499999999999956E-2</v>
      </c>
      <c r="P9">
        <v>0.94540000000000002</v>
      </c>
      <c r="Q9">
        <v>5.4599999999999982E-2</v>
      </c>
      <c r="R9">
        <v>4.9000000000000002E-2</v>
      </c>
      <c r="S9">
        <v>7.7643508444963594E-2</v>
      </c>
      <c r="T9">
        <v>0.15837442623215081</v>
      </c>
    </row>
    <row r="10" spans="1:23">
      <c r="A10" t="str">
        <f>VLOOKUP(C10,portfolio_7_50!$A$2:$B$38,2,FALSE)</f>
        <v>NINP - 14 Mo</v>
      </c>
      <c r="B10" t="s">
        <v>33</v>
      </c>
      <c r="C10" t="s">
        <v>56</v>
      </c>
      <c r="D10">
        <v>92</v>
      </c>
      <c r="E10">
        <v>10000</v>
      </c>
      <c r="F10">
        <v>0.2145</v>
      </c>
      <c r="G10">
        <v>1.3299999999999999E-2</v>
      </c>
      <c r="H10">
        <v>0.33600000000000002</v>
      </c>
      <c r="I10">
        <v>0.02</v>
      </c>
      <c r="J10">
        <v>2.0000000000000002E-5</v>
      </c>
      <c r="K10">
        <v>0.35</v>
      </c>
      <c r="L10">
        <v>14</v>
      </c>
      <c r="M10">
        <v>0.7754000000000002</v>
      </c>
      <c r="N10">
        <v>0.93829999999999991</v>
      </c>
      <c r="O10">
        <v>1.2499999999999956E-2</v>
      </c>
      <c r="P10">
        <v>0.92579999999999996</v>
      </c>
      <c r="Q10">
        <v>7.4200000000000044E-2</v>
      </c>
      <c r="R10">
        <v>6.4699999999999994E-2</v>
      </c>
      <c r="S10">
        <v>7.5389505301456161E-2</v>
      </c>
      <c r="T10">
        <v>3.5280659250430495E-2</v>
      </c>
    </row>
    <row r="11" spans="1:23">
      <c r="A11" t="str">
        <f>VLOOKUP(C11,portfolio_7_50!$A$2:$B$38,2,FALSE)</f>
        <v>NINP - 20 Mo</v>
      </c>
      <c r="B11" t="s">
        <v>33</v>
      </c>
      <c r="C11" t="s">
        <v>59</v>
      </c>
      <c r="D11">
        <v>99</v>
      </c>
      <c r="E11">
        <v>10000</v>
      </c>
      <c r="F11">
        <v>0.2145</v>
      </c>
      <c r="G11">
        <v>1.14E-2</v>
      </c>
      <c r="H11">
        <v>0.33650000000000002</v>
      </c>
      <c r="I11">
        <v>0.02</v>
      </c>
      <c r="J11">
        <v>2.0000000000000002E-5</v>
      </c>
      <c r="K11">
        <v>0.35</v>
      </c>
      <c r="L11">
        <v>20</v>
      </c>
      <c r="M11">
        <v>0.78029999999999999</v>
      </c>
      <c r="N11">
        <v>0.89729999999999999</v>
      </c>
      <c r="O11">
        <v>1.2499999999999956E-2</v>
      </c>
      <c r="P11">
        <v>0.88480000000000003</v>
      </c>
      <c r="Q11">
        <v>0.11519999999999997</v>
      </c>
      <c r="R11">
        <v>7.2599999999999998E-2</v>
      </c>
      <c r="S11">
        <v>8.2151174632150159E-2</v>
      </c>
      <c r="T11">
        <v>6.583872214377718E-3</v>
      </c>
    </row>
    <row r="12" spans="1:23">
      <c r="A12" t="str">
        <f>VLOOKUP(C12,portfolio_7_50!$A$2:$B$38,2,FALSE)</f>
        <v>NINP - 24 Mo</v>
      </c>
      <c r="B12" t="s">
        <v>33</v>
      </c>
      <c r="C12" t="s">
        <v>62</v>
      </c>
      <c r="D12">
        <v>96</v>
      </c>
      <c r="E12">
        <v>10000</v>
      </c>
      <c r="F12">
        <v>0.2399</v>
      </c>
      <c r="G12">
        <v>5.1999999999999998E-3</v>
      </c>
      <c r="H12">
        <v>0.5</v>
      </c>
      <c r="I12">
        <v>0.02</v>
      </c>
      <c r="J12">
        <v>2.0000000000000002E-5</v>
      </c>
      <c r="K12">
        <v>0.35</v>
      </c>
      <c r="L12">
        <v>24</v>
      </c>
      <c r="M12">
        <v>0.88360000000000005</v>
      </c>
      <c r="N12">
        <v>0.89889999999999992</v>
      </c>
      <c r="O12">
        <v>1.2499999999999956E-2</v>
      </c>
      <c r="P12">
        <v>0.88639999999999997</v>
      </c>
      <c r="Q12">
        <v>0.11360000000000003</v>
      </c>
      <c r="R12">
        <v>5.1999999999999998E-3</v>
      </c>
      <c r="S12">
        <v>7.1474240849051185E-2</v>
      </c>
      <c r="T12">
        <v>1.3515100722249374E-2</v>
      </c>
    </row>
    <row r="13" spans="1:23">
      <c r="A13" t="str">
        <f>VLOOKUP(C13,portfolio_7_50!$A$2:$B$38,2,FALSE)</f>
        <v>Unsec Std - 1090 - 120</v>
      </c>
      <c r="B13" t="s">
        <v>33</v>
      </c>
      <c r="C13" t="s">
        <v>65</v>
      </c>
      <c r="D13">
        <v>120</v>
      </c>
      <c r="E13">
        <v>10000</v>
      </c>
      <c r="F13">
        <v>0.109</v>
      </c>
      <c r="G13">
        <v>0</v>
      </c>
      <c r="H13">
        <v>0.16959518501146009</v>
      </c>
      <c r="I13">
        <v>0.02</v>
      </c>
      <c r="J13">
        <v>2.0000000000000002E-5</v>
      </c>
      <c r="K13">
        <v>0.35</v>
      </c>
      <c r="L13">
        <v>0</v>
      </c>
      <c r="M13">
        <v>0</v>
      </c>
      <c r="N13">
        <v>1.0072000000000001</v>
      </c>
      <c r="O13">
        <v>1.2500000000000067E-2</v>
      </c>
      <c r="P13">
        <v>0.99470000000000003</v>
      </c>
      <c r="Q13">
        <v>5.2999999999999714E-3</v>
      </c>
      <c r="R13">
        <v>1.66E-2</v>
      </c>
      <c r="S13">
        <v>7.43568173514495E-2</v>
      </c>
      <c r="T13">
        <v>8.4427837282405795E-3</v>
      </c>
    </row>
    <row r="14" spans="1:23">
      <c r="A14" t="str">
        <f>VLOOKUP(C14,portfolio_7_50!$A$2:$B$38,2,FALSE)</f>
        <v>Unsec Std - 1090 - 123</v>
      </c>
      <c r="B14" t="s">
        <v>33</v>
      </c>
      <c r="C14" t="s">
        <v>68</v>
      </c>
      <c r="D14">
        <v>123</v>
      </c>
      <c r="E14">
        <v>10000</v>
      </c>
      <c r="F14">
        <v>0.109</v>
      </c>
      <c r="G14">
        <v>1.66E-2</v>
      </c>
      <c r="H14">
        <v>0.1696</v>
      </c>
      <c r="I14">
        <v>0.02</v>
      </c>
      <c r="J14">
        <v>2.0000000000000002E-5</v>
      </c>
      <c r="K14">
        <v>0.35</v>
      </c>
      <c r="L14">
        <v>3</v>
      </c>
      <c r="M14">
        <v>0.13000000000000003</v>
      </c>
      <c r="N14">
        <v>0.96119999999999994</v>
      </c>
      <c r="O14">
        <v>1.2499999999999956E-2</v>
      </c>
      <c r="P14">
        <v>0.94869999999999999</v>
      </c>
      <c r="Q14">
        <v>5.1300000000000012E-2</v>
      </c>
      <c r="R14">
        <v>1.66E-2</v>
      </c>
      <c r="S14">
        <v>8.2257608920927261E-2</v>
      </c>
      <c r="T14">
        <v>1.5020729224864144E-3</v>
      </c>
    </row>
    <row r="15" spans="1:23">
      <c r="A15" t="str">
        <f>VLOOKUP(C15,portfolio_7_50!$A$2:$B$38,2,FALSE)</f>
        <v>Unsec Std - 1090 - 180</v>
      </c>
      <c r="B15" t="s">
        <v>33</v>
      </c>
      <c r="C15" t="s">
        <v>72</v>
      </c>
      <c r="D15">
        <v>180</v>
      </c>
      <c r="E15">
        <v>10000</v>
      </c>
      <c r="F15">
        <v>0.109</v>
      </c>
      <c r="G15">
        <v>0</v>
      </c>
      <c r="H15">
        <v>0.15068525075229278</v>
      </c>
      <c r="I15">
        <v>0.02</v>
      </c>
      <c r="J15">
        <v>2.0000000000000002E-5</v>
      </c>
      <c r="K15">
        <v>0.35</v>
      </c>
      <c r="L15">
        <v>0</v>
      </c>
      <c r="M15">
        <v>0</v>
      </c>
      <c r="N15">
        <v>0.98580000000000001</v>
      </c>
      <c r="O15">
        <v>1.2499999999999956E-2</v>
      </c>
      <c r="P15">
        <v>0.97330000000000005</v>
      </c>
      <c r="Q15">
        <v>2.6699999999999946E-2</v>
      </c>
      <c r="R15">
        <v>2.7799999999999998E-2</v>
      </c>
      <c r="S15">
        <v>7.3322539883229787E-2</v>
      </c>
      <c r="T15">
        <v>3.2433249664507155E-2</v>
      </c>
    </row>
    <row r="16" spans="1:23">
      <c r="A16" t="str">
        <f>VLOOKUP(C16,portfolio_7_50!$A$2:$B$38,2,FALSE)</f>
        <v>Unsec Std - 1190 - 120</v>
      </c>
      <c r="B16" t="s">
        <v>33</v>
      </c>
      <c r="C16" t="s">
        <v>74</v>
      </c>
      <c r="D16">
        <v>120</v>
      </c>
      <c r="E16">
        <v>10000</v>
      </c>
      <c r="F16">
        <v>0.11899999999999999</v>
      </c>
      <c r="G16">
        <v>0</v>
      </c>
      <c r="H16">
        <v>0.14100858936076249</v>
      </c>
      <c r="I16">
        <v>0.02</v>
      </c>
      <c r="J16">
        <v>2.0000000000000002E-5</v>
      </c>
      <c r="K16">
        <v>0.35</v>
      </c>
      <c r="L16">
        <v>0</v>
      </c>
      <c r="M16">
        <v>0</v>
      </c>
      <c r="N16">
        <v>1.0016</v>
      </c>
      <c r="O16">
        <v>1.2500000000000067E-2</v>
      </c>
      <c r="P16">
        <v>0.98909999999999998</v>
      </c>
      <c r="Q16">
        <v>1.0900000000000021E-2</v>
      </c>
      <c r="R16">
        <v>2.98E-2</v>
      </c>
      <c r="S16">
        <v>7.677732013539984E-2</v>
      </c>
      <c r="T16">
        <v>9.3211922659329352E-4</v>
      </c>
    </row>
    <row r="17" spans="1:20">
      <c r="A17" t="str">
        <f>VLOOKUP(C17,portfolio_7_50!$A$2:$B$38,2,FALSE)</f>
        <v>Unsec Std - 1190 - 123</v>
      </c>
      <c r="B17" t="s">
        <v>33</v>
      </c>
      <c r="C17" t="s">
        <v>76</v>
      </c>
      <c r="D17">
        <v>123</v>
      </c>
      <c r="E17">
        <v>10000</v>
      </c>
      <c r="F17">
        <v>0.11899999999999999</v>
      </c>
      <c r="G17">
        <v>2.98E-2</v>
      </c>
      <c r="H17">
        <v>0.14099999999999999</v>
      </c>
      <c r="I17">
        <v>0.02</v>
      </c>
      <c r="J17">
        <v>2.0000000000000002E-5</v>
      </c>
      <c r="K17">
        <v>0.35</v>
      </c>
      <c r="L17">
        <v>3</v>
      </c>
      <c r="M17">
        <v>0.13000000000000003</v>
      </c>
      <c r="N17">
        <v>0.95989999999999998</v>
      </c>
      <c r="O17">
        <v>1.2499999999999956E-2</v>
      </c>
      <c r="P17">
        <v>0.94740000000000002</v>
      </c>
      <c r="Q17">
        <v>5.259999999999998E-2</v>
      </c>
      <c r="R17">
        <v>2.98E-2</v>
      </c>
      <c r="S17">
        <v>8.1911141655649722E-2</v>
      </c>
      <c r="T17">
        <v>3.9136988622785583E-4</v>
      </c>
    </row>
    <row r="18" spans="1:20">
      <c r="A18" t="str">
        <f>VLOOKUP(C18,portfolio_7_50!$A$2:$B$38,2,FALSE)</f>
        <v>Unsec Std - 1190 - 126</v>
      </c>
      <c r="B18" t="s">
        <v>33</v>
      </c>
      <c r="C18" t="s">
        <v>78</v>
      </c>
      <c r="D18">
        <v>126</v>
      </c>
      <c r="E18">
        <v>10000</v>
      </c>
      <c r="F18">
        <v>0.11899999999999999</v>
      </c>
      <c r="G18">
        <v>1.8599999999999998E-2</v>
      </c>
      <c r="H18">
        <v>0.316</v>
      </c>
      <c r="I18">
        <v>0.02</v>
      </c>
      <c r="J18">
        <v>2.0000000000000002E-5</v>
      </c>
      <c r="K18">
        <v>0.35</v>
      </c>
      <c r="L18">
        <v>6</v>
      </c>
      <c r="M18">
        <v>0.25257766393989078</v>
      </c>
      <c r="N18">
        <v>0.96249999999999991</v>
      </c>
      <c r="O18">
        <v>1.2499999999999956E-2</v>
      </c>
      <c r="P18">
        <v>0.95</v>
      </c>
      <c r="Q18">
        <v>5.0000000000000044E-2</v>
      </c>
      <c r="R18">
        <v>1.8599999999999998E-2</v>
      </c>
      <c r="S18">
        <v>7.6594127745907237E-2</v>
      </c>
      <c r="T18">
        <v>2.758780950725834E-4</v>
      </c>
    </row>
    <row r="19" spans="1:20">
      <c r="A19" t="str">
        <f>VLOOKUP(C19,portfolio_7_50!$A$2:$B$38,2,FALSE)</f>
        <v>Unsec Std - 1190 - 144</v>
      </c>
      <c r="B19" t="s">
        <v>33</v>
      </c>
      <c r="C19" t="s">
        <v>81</v>
      </c>
      <c r="D19">
        <v>144</v>
      </c>
      <c r="E19">
        <v>10000</v>
      </c>
      <c r="F19">
        <v>0.11899999999999999</v>
      </c>
      <c r="G19">
        <v>0</v>
      </c>
      <c r="H19">
        <v>9.7000000000000003E-2</v>
      </c>
      <c r="I19">
        <v>0.02</v>
      </c>
      <c r="J19">
        <v>2.0000000000000002E-5</v>
      </c>
      <c r="K19">
        <v>0.35</v>
      </c>
      <c r="L19">
        <v>0</v>
      </c>
      <c r="M19">
        <v>0</v>
      </c>
      <c r="N19">
        <v>0.9304</v>
      </c>
      <c r="O19">
        <v>1.2499999999999956E-2</v>
      </c>
      <c r="P19">
        <v>0.91790000000000005</v>
      </c>
      <c r="Q19">
        <v>8.2099999999999951E-2</v>
      </c>
      <c r="R19">
        <v>2.81E-2</v>
      </c>
      <c r="S19">
        <v>9.9398968766931439E-2</v>
      </c>
      <c r="T19">
        <v>1.6743511744596681E-4</v>
      </c>
    </row>
    <row r="20" spans="1:20">
      <c r="A20" t="str">
        <f>VLOOKUP(C20,portfolio_7_50!$A$2:$B$38,2,FALSE)</f>
        <v>Unsec Std - 1190 - 180</v>
      </c>
      <c r="B20" t="s">
        <v>33</v>
      </c>
      <c r="C20" t="s">
        <v>83</v>
      </c>
      <c r="D20">
        <v>180</v>
      </c>
      <c r="E20">
        <v>10000</v>
      </c>
      <c r="F20">
        <v>0.11899999999999999</v>
      </c>
      <c r="G20">
        <v>0</v>
      </c>
      <c r="H20">
        <v>0.11761019723970799</v>
      </c>
      <c r="I20">
        <v>0.02</v>
      </c>
      <c r="J20">
        <v>2.0000000000000002E-5</v>
      </c>
      <c r="K20">
        <v>0.35</v>
      </c>
      <c r="L20">
        <v>0</v>
      </c>
      <c r="M20">
        <v>0</v>
      </c>
      <c r="N20">
        <v>0.98059999999999992</v>
      </c>
      <c r="O20">
        <v>1.2499999999999956E-2</v>
      </c>
      <c r="P20">
        <v>0.96809999999999996</v>
      </c>
      <c r="Q20">
        <v>3.1900000000000039E-2</v>
      </c>
      <c r="R20">
        <v>4.1700000000000001E-2</v>
      </c>
      <c r="S20">
        <v>7.4194454453272662E-2</v>
      </c>
      <c r="T20">
        <v>1.8689669220531982E-3</v>
      </c>
    </row>
    <row r="21" spans="1:20">
      <c r="A21" t="str">
        <f>VLOOKUP(C21,portfolio_7_50!$A$2:$B$38,2,FALSE)</f>
        <v>Unsec Std - 1190 - 60</v>
      </c>
      <c r="B21" t="s">
        <v>33</v>
      </c>
      <c r="C21" t="s">
        <v>85</v>
      </c>
      <c r="D21">
        <v>60</v>
      </c>
      <c r="E21">
        <v>10000</v>
      </c>
      <c r="F21">
        <v>0.11899999999999999</v>
      </c>
      <c r="G21">
        <v>0</v>
      </c>
      <c r="H21">
        <v>0.14299999999999999</v>
      </c>
      <c r="I21">
        <v>0.02</v>
      </c>
      <c r="J21">
        <v>2.0000000000000002E-5</v>
      </c>
      <c r="K21">
        <v>0.35</v>
      </c>
      <c r="L21">
        <v>0</v>
      </c>
      <c r="M21">
        <v>0</v>
      </c>
      <c r="N21">
        <v>0.96089999999999998</v>
      </c>
      <c r="O21">
        <v>1.2499999999999956E-2</v>
      </c>
      <c r="P21">
        <v>0.94840000000000002</v>
      </c>
      <c r="Q21">
        <v>5.1599999999999979E-2</v>
      </c>
      <c r="R21">
        <v>1.9E-2</v>
      </c>
      <c r="S21">
        <v>0.10659977466513748</v>
      </c>
      <c r="T21">
        <v>8.817920103319184E-5</v>
      </c>
    </row>
    <row r="22" spans="1:20">
      <c r="A22" t="str">
        <f>VLOOKUP(C22,portfolio_7_50!$A$2:$B$38,2,FALSE)</f>
        <v>Unsec Std - 1195 - 180</v>
      </c>
      <c r="B22" t="s">
        <v>33</v>
      </c>
      <c r="C22" t="s">
        <v>87</v>
      </c>
      <c r="D22">
        <v>180</v>
      </c>
      <c r="E22">
        <v>10000</v>
      </c>
      <c r="F22">
        <v>0.1195</v>
      </c>
      <c r="G22">
        <v>0</v>
      </c>
      <c r="H22">
        <v>0.2</v>
      </c>
      <c r="I22">
        <v>0.02</v>
      </c>
      <c r="J22">
        <v>2.0000000000000002E-5</v>
      </c>
      <c r="K22">
        <v>0.35</v>
      </c>
      <c r="L22">
        <v>0</v>
      </c>
      <c r="M22">
        <v>0</v>
      </c>
      <c r="N22">
        <v>1.0125</v>
      </c>
      <c r="O22">
        <v>1.2499999999999956E-2</v>
      </c>
      <c r="P22">
        <v>1</v>
      </c>
      <c r="Q22">
        <v>0</v>
      </c>
      <c r="R22">
        <v>3.0965949600000001E-2</v>
      </c>
      <c r="S22">
        <v>7.2519507114646942E-2</v>
      </c>
      <c r="T22">
        <v>2.9278982671861547E-3</v>
      </c>
    </row>
    <row r="23" spans="1:20">
      <c r="A23" t="str">
        <f>VLOOKUP(C23,portfolio_7_50!$A$2:$B$38,2,FALSE)</f>
        <v>Unsec Std - 1290 - 120</v>
      </c>
      <c r="B23" t="s">
        <v>33</v>
      </c>
      <c r="C23" t="s">
        <v>89</v>
      </c>
      <c r="D23">
        <v>120</v>
      </c>
      <c r="E23">
        <v>10000</v>
      </c>
      <c r="F23">
        <v>0.129</v>
      </c>
      <c r="G23">
        <v>0</v>
      </c>
      <c r="H23">
        <v>0.13575087101908936</v>
      </c>
      <c r="I23">
        <v>0.02</v>
      </c>
      <c r="J23">
        <v>2.0000000000000002E-5</v>
      </c>
      <c r="K23">
        <v>0.35</v>
      </c>
      <c r="L23">
        <v>0</v>
      </c>
      <c r="M23">
        <v>0</v>
      </c>
      <c r="N23">
        <v>1.0098</v>
      </c>
      <c r="O23">
        <v>1.2500000000000067E-2</v>
      </c>
      <c r="P23">
        <v>0.99729999999999996</v>
      </c>
      <c r="Q23">
        <v>2.7000000000000357E-3</v>
      </c>
      <c r="R23">
        <v>3.3300000000000003E-2</v>
      </c>
      <c r="S23">
        <v>8.1152152209306827E-2</v>
      </c>
      <c r="T23">
        <v>8.5229214729962803E-3</v>
      </c>
    </row>
    <row r="24" spans="1:20">
      <c r="A24" t="str">
        <f>VLOOKUP(C24,portfolio_7_50!$A$2:$B$38,2,FALSE)</f>
        <v>Unsec Std - 1290 - 123</v>
      </c>
      <c r="B24" t="s">
        <v>33</v>
      </c>
      <c r="C24" t="s">
        <v>91</v>
      </c>
      <c r="D24">
        <v>123</v>
      </c>
      <c r="E24">
        <v>10000</v>
      </c>
      <c r="F24">
        <v>0.129</v>
      </c>
      <c r="G24">
        <v>3.3300000000000003E-2</v>
      </c>
      <c r="H24">
        <v>0.1358</v>
      </c>
      <c r="I24">
        <v>0.02</v>
      </c>
      <c r="J24">
        <v>2.0000000000000002E-5</v>
      </c>
      <c r="K24">
        <v>0.35</v>
      </c>
      <c r="L24">
        <v>3</v>
      </c>
      <c r="M24">
        <v>0.13000000000000003</v>
      </c>
      <c r="N24">
        <v>0.95619999999999994</v>
      </c>
      <c r="O24">
        <v>1.2499999999999956E-2</v>
      </c>
      <c r="P24">
        <v>0.94369999999999998</v>
      </c>
      <c r="Q24">
        <v>5.6300000000000017E-2</v>
      </c>
      <c r="R24">
        <v>3.3300000000000003E-2</v>
      </c>
      <c r="S24">
        <v>8.9698324987704581E-2</v>
      </c>
      <c r="T24">
        <v>3.57925379137941E-3</v>
      </c>
    </row>
    <row r="25" spans="1:20">
      <c r="A25" t="str">
        <f>VLOOKUP(C25,portfolio_7_50!$A$2:$B$38,2,FALSE)</f>
        <v>Unsec Std - 1389 - 120</v>
      </c>
      <c r="B25" t="s">
        <v>33</v>
      </c>
      <c r="C25" t="s">
        <v>93</v>
      </c>
      <c r="D25">
        <v>120</v>
      </c>
      <c r="E25">
        <v>10000</v>
      </c>
      <c r="F25">
        <v>0.1389</v>
      </c>
      <c r="G25">
        <v>0</v>
      </c>
      <c r="H25">
        <v>0.13376435265106001</v>
      </c>
      <c r="I25">
        <v>0.02</v>
      </c>
      <c r="J25">
        <v>2.0000000000000002E-5</v>
      </c>
      <c r="K25">
        <v>0.35</v>
      </c>
      <c r="L25">
        <v>0</v>
      </c>
      <c r="M25">
        <v>0</v>
      </c>
      <c r="N25">
        <v>1.0053000000000001</v>
      </c>
      <c r="O25">
        <v>1.2500000000000067E-2</v>
      </c>
      <c r="P25">
        <v>0.99280000000000002</v>
      </c>
      <c r="Q25">
        <v>7.1999999999999842E-3</v>
      </c>
      <c r="R25">
        <v>3.4599999999999999E-2</v>
      </c>
      <c r="S25">
        <v>9.1396270480743169E-2</v>
      </c>
      <c r="T25">
        <v>1.9070311254954866E-3</v>
      </c>
    </row>
    <row r="26" spans="1:20">
      <c r="A26" t="str">
        <f>VLOOKUP(C26,portfolio_7_50!$A$2:$B$38,2,FALSE)</f>
        <v>Unsec Std - 1390 - 123</v>
      </c>
      <c r="B26" t="s">
        <v>33</v>
      </c>
      <c r="C26" t="s">
        <v>95</v>
      </c>
      <c r="D26">
        <v>123</v>
      </c>
      <c r="E26">
        <v>10000</v>
      </c>
      <c r="F26">
        <v>0.13900000000000001</v>
      </c>
      <c r="G26">
        <v>3.4599999999999999E-2</v>
      </c>
      <c r="H26">
        <v>0.1338</v>
      </c>
      <c r="I26">
        <v>0.02</v>
      </c>
      <c r="J26">
        <v>2.0000000000000002E-5</v>
      </c>
      <c r="K26">
        <v>0.35</v>
      </c>
      <c r="L26">
        <v>3</v>
      </c>
      <c r="M26">
        <v>0.13000000000000003</v>
      </c>
      <c r="N26">
        <v>0.95569999999999999</v>
      </c>
      <c r="O26">
        <v>1.2499999999999956E-2</v>
      </c>
      <c r="P26">
        <v>0.94320000000000004</v>
      </c>
      <c r="Q26">
        <v>5.6799999999999962E-2</v>
      </c>
      <c r="R26">
        <v>3.4599999999999999E-2</v>
      </c>
      <c r="S26">
        <v>9.7856834189294695E-2</v>
      </c>
      <c r="T26">
        <v>5.1884427525636693E-4</v>
      </c>
    </row>
    <row r="27" spans="1:20">
      <c r="A27" t="str">
        <f>VLOOKUP(C27,portfolio_7_50!$A$2:$B$38,2,FALSE)</f>
        <v>Unsec Std - 1390 - 144</v>
      </c>
      <c r="B27" t="s">
        <v>33</v>
      </c>
      <c r="C27" t="s">
        <v>97</v>
      </c>
      <c r="D27">
        <v>144</v>
      </c>
      <c r="E27">
        <v>10000</v>
      </c>
      <c r="F27">
        <v>0.13900000000000001</v>
      </c>
      <c r="G27">
        <v>0</v>
      </c>
      <c r="H27">
        <v>7.0099999999999996E-2</v>
      </c>
      <c r="I27">
        <v>0.02</v>
      </c>
      <c r="J27">
        <v>2.0000000000000002E-5</v>
      </c>
      <c r="K27">
        <v>0.35</v>
      </c>
      <c r="L27">
        <v>0</v>
      </c>
      <c r="M27">
        <v>0</v>
      </c>
      <c r="N27">
        <v>0.94750000000000001</v>
      </c>
      <c r="O27">
        <v>1.2499999999999956E-2</v>
      </c>
      <c r="P27">
        <v>0.93500000000000005</v>
      </c>
      <c r="Q27">
        <v>6.4999999999999947E-2</v>
      </c>
      <c r="R27">
        <v>3.56E-2</v>
      </c>
      <c r="S27">
        <v>0.10744450619881452</v>
      </c>
      <c r="T27">
        <v>2.4488167077202842E-5</v>
      </c>
    </row>
    <row r="28" spans="1:20">
      <c r="A28" t="str">
        <f>VLOOKUP(C28,portfolio_7_50!$A$2:$B$38,2,FALSE)</f>
        <v>Unsec Std - 795 - 180</v>
      </c>
      <c r="B28" t="s">
        <v>33</v>
      </c>
      <c r="C28" t="s">
        <v>99</v>
      </c>
      <c r="D28">
        <v>180</v>
      </c>
      <c r="E28">
        <v>10000</v>
      </c>
      <c r="F28">
        <v>7.9500000000000001E-2</v>
      </c>
      <c r="G28">
        <v>0</v>
      </c>
      <c r="H28">
        <v>0.2</v>
      </c>
      <c r="I28">
        <v>0.02</v>
      </c>
      <c r="J28">
        <v>2.0000000000000002E-5</v>
      </c>
      <c r="K28">
        <v>0.35</v>
      </c>
      <c r="L28">
        <v>0</v>
      </c>
      <c r="M28">
        <v>0</v>
      </c>
      <c r="N28">
        <v>0.90749999999999997</v>
      </c>
      <c r="O28">
        <v>1.2499999999999956E-2</v>
      </c>
      <c r="P28">
        <v>0.89500000000000002</v>
      </c>
      <c r="Q28">
        <v>0.10499999999999998</v>
      </c>
      <c r="R28">
        <v>3.0965949600000001E-2</v>
      </c>
      <c r="S28">
        <v>7.1880448451645762E-2</v>
      </c>
      <c r="T28">
        <v>1.4268259261199522E-2</v>
      </c>
    </row>
    <row r="29" spans="1:20">
      <c r="A29" t="str">
        <f>VLOOKUP(C29,portfolio_7_50!$A$2:$B$38,2,FALSE)</f>
        <v>Unsec Std - 895 - 180</v>
      </c>
      <c r="B29" t="s">
        <v>33</v>
      </c>
      <c r="C29" t="s">
        <v>101</v>
      </c>
      <c r="D29">
        <v>180</v>
      </c>
      <c r="E29">
        <v>10000</v>
      </c>
      <c r="F29">
        <v>8.9499999999999996E-2</v>
      </c>
      <c r="G29">
        <v>0</v>
      </c>
      <c r="H29">
        <v>0.2</v>
      </c>
      <c r="I29">
        <v>0.02</v>
      </c>
      <c r="J29">
        <v>2.0000000000000002E-5</v>
      </c>
      <c r="K29">
        <v>0.35</v>
      </c>
      <c r="L29">
        <v>0</v>
      </c>
      <c r="M29">
        <v>0</v>
      </c>
      <c r="N29">
        <v>0.9325</v>
      </c>
      <c r="O29">
        <v>1.2499999999999956E-2</v>
      </c>
      <c r="P29">
        <v>0.92</v>
      </c>
      <c r="Q29">
        <v>7.999999999999996E-2</v>
      </c>
      <c r="R29">
        <v>3.0965949600000001E-2</v>
      </c>
      <c r="S29">
        <v>7.2295920751140663E-2</v>
      </c>
      <c r="T29">
        <v>2.5111022516833741E-3</v>
      </c>
    </row>
    <row r="30" spans="1:20">
      <c r="A30" t="str">
        <f>VLOOKUP(C30,portfolio_7_50!$A$2:$B$38,2,FALSE)</f>
        <v>Unsec Std - 990 - 123</v>
      </c>
      <c r="B30" t="s">
        <v>33</v>
      </c>
      <c r="C30" t="s">
        <v>103</v>
      </c>
      <c r="D30">
        <v>123</v>
      </c>
      <c r="E30">
        <v>10000</v>
      </c>
      <c r="F30">
        <v>9.9000000000000005E-2</v>
      </c>
      <c r="G30">
        <v>1.66E-2</v>
      </c>
      <c r="H30">
        <v>0.1696</v>
      </c>
      <c r="I30">
        <v>0.02</v>
      </c>
      <c r="J30">
        <v>2.0000000000000002E-5</v>
      </c>
      <c r="K30">
        <v>0.35</v>
      </c>
      <c r="L30">
        <v>3</v>
      </c>
      <c r="M30">
        <v>0.13000000000000003</v>
      </c>
      <c r="N30">
        <v>0.95799999999999996</v>
      </c>
      <c r="O30">
        <v>1.2499999999999956E-2</v>
      </c>
      <c r="P30">
        <v>0.94550000000000001</v>
      </c>
      <c r="Q30">
        <v>5.4499999999999993E-2</v>
      </c>
      <c r="R30">
        <v>1.66E-2</v>
      </c>
      <c r="S30">
        <v>7.4527304358737112E-2</v>
      </c>
      <c r="T30">
        <v>9.5338439119047481E-3</v>
      </c>
    </row>
    <row r="31" spans="1:20">
      <c r="A31" t="str">
        <f>VLOOKUP(C31,portfolio_7_50!$A$2:$B$38,2,FALSE)</f>
        <v>Unsec Std - 990 - 180</v>
      </c>
      <c r="B31" t="s">
        <v>33</v>
      </c>
      <c r="C31" t="s">
        <v>105</v>
      </c>
      <c r="D31">
        <v>180</v>
      </c>
      <c r="E31">
        <v>10000</v>
      </c>
      <c r="F31">
        <v>9.9000000000000005E-2</v>
      </c>
      <c r="G31">
        <v>0</v>
      </c>
      <c r="H31">
        <v>0.16789999999999999</v>
      </c>
      <c r="I31">
        <v>0.02</v>
      </c>
      <c r="J31">
        <v>2.0000000000000002E-5</v>
      </c>
      <c r="K31">
        <v>0.35</v>
      </c>
      <c r="L31">
        <v>0</v>
      </c>
      <c r="M31">
        <v>0</v>
      </c>
      <c r="N31">
        <v>0.98009999999999997</v>
      </c>
      <c r="O31">
        <v>1.2499999999999956E-2</v>
      </c>
      <c r="P31">
        <v>0.96760000000000002</v>
      </c>
      <c r="Q31">
        <v>3.2399999999999984E-2</v>
      </c>
      <c r="R31">
        <v>2.07E-2</v>
      </c>
      <c r="S31">
        <v>7.0567027659109272E-2</v>
      </c>
      <c r="T31">
        <v>6.2776084640441238E-2</v>
      </c>
    </row>
    <row r="32" spans="1:20">
      <c r="A32" t="str">
        <f>VLOOKUP(C32,portfolio_7_50!$A$2:$B$38,2,FALSE)</f>
        <v>Unsec Std - 990 - 183</v>
      </c>
      <c r="B32" t="s">
        <v>33</v>
      </c>
      <c r="C32" t="s">
        <v>107</v>
      </c>
      <c r="D32">
        <v>183</v>
      </c>
      <c r="E32">
        <v>10000</v>
      </c>
      <c r="F32">
        <v>9.9000000000000005E-2</v>
      </c>
      <c r="G32">
        <v>2.07E-2</v>
      </c>
      <c r="H32">
        <v>0.16789999999999999</v>
      </c>
      <c r="I32">
        <v>0.02</v>
      </c>
      <c r="J32">
        <v>2.0000000000000002E-5</v>
      </c>
      <c r="K32">
        <v>0.35</v>
      </c>
      <c r="L32">
        <v>3</v>
      </c>
      <c r="M32">
        <v>0.13000000000000003</v>
      </c>
      <c r="N32">
        <v>0.96249999999999991</v>
      </c>
      <c r="O32">
        <v>1.2499999999999956E-2</v>
      </c>
      <c r="P32">
        <v>0.95</v>
      </c>
      <c r="Q32">
        <v>5.0000000000000044E-2</v>
      </c>
      <c r="R32">
        <v>2.07E-2</v>
      </c>
      <c r="S32">
        <v>6.9040188350142806E-2</v>
      </c>
      <c r="T32">
        <v>1.1204023123811047E-3</v>
      </c>
    </row>
    <row r="33" spans="1:20">
      <c r="A33" t="str">
        <f>VLOOKUP(C33,portfolio_7_50!$A$2:$B$38,2,FALSE)</f>
        <v>Unsec Std - 999 - 120</v>
      </c>
      <c r="B33" t="s">
        <v>33</v>
      </c>
      <c r="C33" t="s">
        <v>109</v>
      </c>
      <c r="D33">
        <v>120</v>
      </c>
      <c r="E33">
        <v>10000</v>
      </c>
      <c r="F33">
        <v>9.9900000000000003E-2</v>
      </c>
      <c r="G33">
        <v>0</v>
      </c>
      <c r="H33">
        <v>0.26100000000000001</v>
      </c>
      <c r="I33">
        <v>0.02</v>
      </c>
      <c r="J33">
        <v>2.0000000000000002E-5</v>
      </c>
      <c r="K33">
        <v>0.35</v>
      </c>
      <c r="L33">
        <v>0</v>
      </c>
      <c r="M33">
        <v>0</v>
      </c>
      <c r="N33">
        <v>1.0074000000000001</v>
      </c>
      <c r="O33">
        <v>1.2500000000000067E-2</v>
      </c>
      <c r="P33">
        <v>0.99490000000000001</v>
      </c>
      <c r="Q33">
        <v>5.0999999999999934E-3</v>
      </c>
      <c r="R33">
        <v>6.8999999999999999E-3</v>
      </c>
      <c r="S33">
        <v>7.152171297673604E-2</v>
      </c>
      <c r="T33">
        <v>9.1694128624240142E-4</v>
      </c>
    </row>
    <row r="34" spans="1:20">
      <c r="A34" t="str">
        <f>VLOOKUP(C34,portfolio_7_50!$A$2:$B$38,2,FALSE)</f>
        <v>Unsec Std - 999 - 180</v>
      </c>
      <c r="B34" t="s">
        <v>33</v>
      </c>
      <c r="C34" t="s">
        <v>111</v>
      </c>
      <c r="D34">
        <v>180</v>
      </c>
      <c r="E34">
        <v>10000</v>
      </c>
      <c r="F34">
        <v>9.9900000000000003E-2</v>
      </c>
      <c r="G34">
        <v>0</v>
      </c>
      <c r="H34">
        <v>0.19950000000000001</v>
      </c>
      <c r="I34">
        <v>0.02</v>
      </c>
      <c r="J34">
        <v>2.0000000000000002E-5</v>
      </c>
      <c r="K34">
        <v>0.35</v>
      </c>
      <c r="L34">
        <v>0</v>
      </c>
      <c r="M34">
        <v>0</v>
      </c>
      <c r="N34">
        <v>0.99829999999999997</v>
      </c>
      <c r="O34">
        <v>1.2499999999999956E-2</v>
      </c>
      <c r="P34">
        <v>0.98580000000000001</v>
      </c>
      <c r="Q34">
        <v>1.419999999999999E-2</v>
      </c>
      <c r="R34">
        <v>7.1000000000000004E-3</v>
      </c>
      <c r="S34">
        <v>7.5407117984509497E-2</v>
      </c>
      <c r="T34">
        <v>6.3058156534152529E-4</v>
      </c>
    </row>
    <row r="35" spans="1:20">
      <c r="A35" t="str">
        <f>VLOOKUP(C35,portfolio_7_50!$A$2:$B$38,2,FALSE)</f>
        <v>Unsec Std - 999 - 60</v>
      </c>
      <c r="B35" t="s">
        <v>33</v>
      </c>
      <c r="C35" t="s">
        <v>113</v>
      </c>
      <c r="D35">
        <v>60</v>
      </c>
      <c r="E35">
        <v>10000</v>
      </c>
      <c r="F35">
        <v>9.9900000000000003E-2</v>
      </c>
      <c r="G35">
        <v>0</v>
      </c>
      <c r="H35">
        <v>0.30869999999999997</v>
      </c>
      <c r="I35">
        <v>0.02</v>
      </c>
      <c r="J35">
        <v>2.0000000000000002E-5</v>
      </c>
      <c r="K35">
        <v>0.35</v>
      </c>
      <c r="L35">
        <v>0</v>
      </c>
      <c r="M35">
        <v>0</v>
      </c>
      <c r="N35">
        <v>0.97719999999999996</v>
      </c>
      <c r="O35">
        <v>1.2499999999999956E-2</v>
      </c>
      <c r="P35">
        <v>0.9647</v>
      </c>
      <c r="Q35">
        <v>3.5299999999999998E-2</v>
      </c>
      <c r="R35">
        <v>7.7999999999999996E-3</v>
      </c>
      <c r="S35">
        <v>9.0334766117627474E-2</v>
      </c>
      <c r="T35">
        <v>2.5201811851283584E-4</v>
      </c>
    </row>
    <row r="36" spans="1:20">
      <c r="A36" t="str">
        <f>VLOOKUP(C36,portfolio_7_50!$A$2:$B$38,2,FALSE)</f>
        <v>Unsec Std - 999 - 90</v>
      </c>
      <c r="B36" t="s">
        <v>33</v>
      </c>
      <c r="C36" t="s">
        <v>115</v>
      </c>
      <c r="D36">
        <v>90</v>
      </c>
      <c r="E36">
        <v>10000</v>
      </c>
      <c r="F36">
        <v>9.9900000000000003E-2</v>
      </c>
      <c r="G36">
        <v>0</v>
      </c>
      <c r="H36">
        <v>0.30399999999999999</v>
      </c>
      <c r="I36">
        <v>0.02</v>
      </c>
      <c r="J36">
        <v>2.0000000000000002E-5</v>
      </c>
      <c r="K36">
        <v>0.35</v>
      </c>
      <c r="L36">
        <v>0</v>
      </c>
      <c r="M36">
        <v>0</v>
      </c>
      <c r="N36">
        <v>1.0017</v>
      </c>
      <c r="O36">
        <v>1.2500000000000067E-2</v>
      </c>
      <c r="P36">
        <v>0.98919999999999997</v>
      </c>
      <c r="Q36">
        <v>1.0800000000000032E-2</v>
      </c>
      <c r="R36">
        <v>8.0000000000000002E-3</v>
      </c>
      <c r="S36">
        <v>7.3202394313488739E-2</v>
      </c>
      <c r="T36">
        <v>3.1095624630076615E-3</v>
      </c>
    </row>
    <row r="37" spans="1:20">
      <c r="A37" t="str">
        <f>VLOOKUP(C37,portfolio_7_50!$A$2:$B$38,2,FALSE)</f>
        <v>Unsec Std - EPNI 36 Mo</v>
      </c>
      <c r="B37" t="s">
        <v>33</v>
      </c>
      <c r="C37" t="s">
        <v>117</v>
      </c>
      <c r="D37">
        <v>36</v>
      </c>
      <c r="E37">
        <v>10000</v>
      </c>
      <c r="F37">
        <v>0</v>
      </c>
      <c r="G37">
        <v>0</v>
      </c>
      <c r="H37">
        <v>0.214</v>
      </c>
      <c r="I37">
        <v>0.02</v>
      </c>
      <c r="J37">
        <v>2.0000000000000002E-5</v>
      </c>
      <c r="K37">
        <v>0.35</v>
      </c>
      <c r="L37">
        <v>0</v>
      </c>
      <c r="M37">
        <v>0</v>
      </c>
      <c r="N37">
        <v>0.89039999999999997</v>
      </c>
      <c r="O37">
        <v>1.2499999999999956E-2</v>
      </c>
      <c r="P37">
        <v>0.87790000000000001</v>
      </c>
      <c r="Q37">
        <v>0.12209999999999999</v>
      </c>
      <c r="R37">
        <v>1.11E-2</v>
      </c>
      <c r="S37">
        <v>6.7295747520827121E-2</v>
      </c>
      <c r="T37">
        <v>2.4951009639298066E-2</v>
      </c>
    </row>
    <row r="38" spans="1:20">
      <c r="A38" t="str">
        <f>VLOOKUP(C38,portfolio_7_50!$A$2:$B$38,2,FALSE)</f>
        <v>Unsec Std - EPNI 60 Mo</v>
      </c>
      <c r="B38" t="s">
        <v>33</v>
      </c>
      <c r="C38" t="s">
        <v>120</v>
      </c>
      <c r="D38">
        <v>60</v>
      </c>
      <c r="E38">
        <v>10000</v>
      </c>
      <c r="F38">
        <v>0</v>
      </c>
      <c r="G38">
        <v>0</v>
      </c>
      <c r="H38">
        <v>0.13900000000000001</v>
      </c>
      <c r="I38">
        <v>0.02</v>
      </c>
      <c r="J38">
        <v>2.0000000000000002E-5</v>
      </c>
      <c r="K38">
        <v>0.35</v>
      </c>
      <c r="L38">
        <v>0</v>
      </c>
      <c r="M38">
        <v>0</v>
      </c>
      <c r="N38">
        <v>0.86629999999999996</v>
      </c>
      <c r="O38">
        <v>1.2499999999999956E-2</v>
      </c>
      <c r="P38">
        <v>0.8538</v>
      </c>
      <c r="Q38">
        <v>0.1462</v>
      </c>
      <c r="R38">
        <v>1.03E-2</v>
      </c>
      <c r="S38">
        <v>4.4721914918141259E-2</v>
      </c>
      <c r="T38">
        <v>5.5363941709836981E-2</v>
      </c>
    </row>
    <row r="39" spans="1:20">
      <c r="A39" s="2" t="str">
        <f>VLOOKUP(C39,portfolio_7_50!$A$39:$B$54,2,FALSE)</f>
        <v>18 Mth WPDI</v>
      </c>
      <c r="B39" s="2" t="s">
        <v>122</v>
      </c>
      <c r="C39" s="2" t="s">
        <v>39</v>
      </c>
      <c r="D39" s="2">
        <v>58</v>
      </c>
      <c r="E39" s="2">
        <v>10000</v>
      </c>
      <c r="F39" s="2">
        <v>0.22</v>
      </c>
      <c r="G39" s="2">
        <v>2.5100000000000001E-2</v>
      </c>
      <c r="H39" s="2">
        <v>0.25701318938854839</v>
      </c>
      <c r="I39" s="2">
        <v>0.02</v>
      </c>
      <c r="J39" s="2">
        <v>2.0000000000000002E-5</v>
      </c>
      <c r="K39" s="2">
        <v>0.35</v>
      </c>
      <c r="L39" s="2">
        <v>18</v>
      </c>
      <c r="M39" s="2">
        <v>0.82027057699026318</v>
      </c>
      <c r="N39" s="2">
        <v>0.95920000000000005</v>
      </c>
      <c r="O39" s="2">
        <v>1.2499999999999956E-2</v>
      </c>
      <c r="P39" s="2">
        <v>0.9467000000000001</v>
      </c>
      <c r="Q39" s="2">
        <v>5.3299999999999903E-2</v>
      </c>
      <c r="R39" s="2">
        <v>6.4299999999999996E-2</v>
      </c>
      <c r="S39" s="2">
        <v>7.9462551995836961E-2</v>
      </c>
      <c r="T39" s="2">
        <v>0.19510774496266051</v>
      </c>
    </row>
    <row r="40" spans="1:20">
      <c r="A40" s="2" t="str">
        <f>VLOOKUP(C40,portfolio_7_50!$A$39:$B$54,2,FALSE)</f>
        <v>6 Mth WPDI</v>
      </c>
      <c r="B40" s="2" t="s">
        <v>122</v>
      </c>
      <c r="C40" s="2" t="s">
        <v>49</v>
      </c>
      <c r="D40" s="2">
        <v>56</v>
      </c>
      <c r="E40" s="2">
        <v>10000</v>
      </c>
      <c r="F40" s="2">
        <v>0.22</v>
      </c>
      <c r="G40" s="2">
        <v>4.7E-2</v>
      </c>
      <c r="H40" s="2">
        <v>0.16972991014247368</v>
      </c>
      <c r="I40" s="2">
        <v>0.02</v>
      </c>
      <c r="J40" s="2">
        <v>2.0000000000000002E-5</v>
      </c>
      <c r="K40" s="2">
        <v>0.35</v>
      </c>
      <c r="L40" s="2">
        <v>6</v>
      </c>
      <c r="M40" s="2">
        <v>0.65464361094297141</v>
      </c>
      <c r="N40" s="2">
        <v>0.98070000000000002</v>
      </c>
      <c r="O40" s="2">
        <v>1.2499999999999956E-2</v>
      </c>
      <c r="P40" s="2">
        <v>0.96820000000000006</v>
      </c>
      <c r="Q40" s="2">
        <v>3.1799999999999939E-2</v>
      </c>
      <c r="R40" s="2">
        <v>3.7600000000000001E-2</v>
      </c>
      <c r="S40" s="2">
        <v>0.13825131579126371</v>
      </c>
      <c r="T40" s="2">
        <v>3.0118829843612692E-3</v>
      </c>
    </row>
    <row r="41" spans="1:20">
      <c r="A41" s="2" t="str">
        <f>VLOOKUP(C41,portfolio_7_50!$A$39:$B$54,2,FALSE)</f>
        <v>NINP - 10 Mo</v>
      </c>
      <c r="B41" s="2" t="s">
        <v>122</v>
      </c>
      <c r="C41" s="2" t="s">
        <v>52</v>
      </c>
      <c r="D41" s="2">
        <v>86</v>
      </c>
      <c r="E41" s="2">
        <v>10000</v>
      </c>
      <c r="F41" s="2">
        <v>0.22</v>
      </c>
      <c r="G41" s="2">
        <v>1.3395680703240598E-2</v>
      </c>
      <c r="H41" s="2">
        <v>0.3347</v>
      </c>
      <c r="I41" s="2">
        <v>0.02</v>
      </c>
      <c r="J41" s="2">
        <v>2.0000000000000002E-5</v>
      </c>
      <c r="K41" s="2">
        <v>0.35</v>
      </c>
      <c r="L41" s="2">
        <v>10</v>
      </c>
      <c r="M41" s="2">
        <v>0.82499999999999996</v>
      </c>
      <c r="N41" s="2">
        <v>0.95650000000000002</v>
      </c>
      <c r="O41" s="2">
        <v>1.2499999999999956E-2</v>
      </c>
      <c r="P41" s="2">
        <v>0.94400000000000006</v>
      </c>
      <c r="Q41" s="2">
        <v>5.5999999999999939E-2</v>
      </c>
      <c r="R41" s="2">
        <v>1.3395680703240598E-2</v>
      </c>
      <c r="S41" s="2">
        <v>8.809351988427494E-2</v>
      </c>
      <c r="T41" s="2">
        <v>1.4922624311599519E-2</v>
      </c>
    </row>
    <row r="42" spans="1:20">
      <c r="A42" s="2" t="str">
        <f>VLOOKUP(C42,portfolio_7_50!$A$39:$B$54,2,FALSE)</f>
        <v>NINP - 12 Mo</v>
      </c>
      <c r="B42" s="2" t="s">
        <v>122</v>
      </c>
      <c r="C42" s="2" t="s">
        <v>127</v>
      </c>
      <c r="D42" s="2">
        <v>86</v>
      </c>
      <c r="E42" s="2">
        <v>10000</v>
      </c>
      <c r="F42" s="2">
        <v>0.22</v>
      </c>
      <c r="G42" s="2">
        <v>7.695688701562853E-3</v>
      </c>
      <c r="H42" s="2">
        <v>0.5</v>
      </c>
      <c r="I42" s="2">
        <v>0.02</v>
      </c>
      <c r="J42" s="2">
        <v>2.0000000000000002E-5</v>
      </c>
      <c r="K42" s="2">
        <v>0.35</v>
      </c>
      <c r="L42" s="2">
        <v>12</v>
      </c>
      <c r="M42" s="2">
        <v>0.97039999999999993</v>
      </c>
      <c r="N42" s="2">
        <v>0.95679999999999998</v>
      </c>
      <c r="O42" s="2">
        <v>1.2499999999999956E-2</v>
      </c>
      <c r="P42" s="2">
        <v>0.94430000000000003</v>
      </c>
      <c r="Q42" s="2">
        <v>5.5699999999999972E-2</v>
      </c>
      <c r="R42" s="2">
        <v>7.695688701562853E-3</v>
      </c>
      <c r="S42" s="2">
        <v>4.6832993443052473E-2</v>
      </c>
      <c r="T42" s="2">
        <v>8.4825585509061802E-2</v>
      </c>
    </row>
    <row r="43" spans="1:20">
      <c r="A43" s="2" t="str">
        <f>VLOOKUP(C43,portfolio_7_50!$A$39:$B$54,2,FALSE)</f>
        <v>NINP - 20 Mo</v>
      </c>
      <c r="B43" s="2" t="s">
        <v>122</v>
      </c>
      <c r="C43" s="2" t="s">
        <v>59</v>
      </c>
      <c r="D43" s="2">
        <v>96</v>
      </c>
      <c r="E43" s="2">
        <v>10000</v>
      </c>
      <c r="F43" s="2">
        <v>0.22</v>
      </c>
      <c r="G43" s="2">
        <v>1.3222633524994162E-2</v>
      </c>
      <c r="H43" s="2">
        <v>0.27189999999999998</v>
      </c>
      <c r="I43" s="2">
        <v>0.02</v>
      </c>
      <c r="J43" s="2">
        <v>2.0000000000000002E-5</v>
      </c>
      <c r="K43" s="2">
        <v>0.35</v>
      </c>
      <c r="L43" s="2">
        <v>20</v>
      </c>
      <c r="M43" s="2">
        <v>0.8839999999999999</v>
      </c>
      <c r="N43" s="2">
        <v>0.89490000000000003</v>
      </c>
      <c r="O43" s="2">
        <v>1.2499999999999956E-2</v>
      </c>
      <c r="P43" s="2">
        <v>0.88240000000000007</v>
      </c>
      <c r="Q43" s="2">
        <v>0.11759999999999993</v>
      </c>
      <c r="R43" s="2">
        <v>1.3222633524994162E-2</v>
      </c>
      <c r="S43" s="2">
        <v>8.26715029780134E-2</v>
      </c>
      <c r="T43" s="2">
        <v>8.5244581977652594E-3</v>
      </c>
    </row>
    <row r="44" spans="1:20">
      <c r="A44" s="2" t="str">
        <f>VLOOKUP(C44,portfolio_7_50!$A$39:$B$54,2,FALSE)</f>
        <v>NINP - 24 Mo</v>
      </c>
      <c r="B44" s="2" t="s">
        <v>122</v>
      </c>
      <c r="C44" s="2" t="s">
        <v>62</v>
      </c>
      <c r="D44" s="2">
        <v>96</v>
      </c>
      <c r="E44" s="2">
        <v>10000</v>
      </c>
      <c r="F44" s="2">
        <v>0.22</v>
      </c>
      <c r="G44" s="2">
        <v>8.0796898893547679E-3</v>
      </c>
      <c r="H44" s="2">
        <v>0.5</v>
      </c>
      <c r="I44" s="2">
        <v>0.02</v>
      </c>
      <c r="J44" s="2">
        <v>2.0000000000000002E-5</v>
      </c>
      <c r="K44" s="2">
        <v>0.35</v>
      </c>
      <c r="L44" s="2">
        <v>24</v>
      </c>
      <c r="M44" s="2">
        <v>0.88360000000000005</v>
      </c>
      <c r="N44" s="2">
        <v>0.89610000000000001</v>
      </c>
      <c r="O44" s="2">
        <v>1.2499999999999956E-2</v>
      </c>
      <c r="P44" s="2">
        <v>0.88360000000000005</v>
      </c>
      <c r="Q44" s="2">
        <v>0.11639999999999995</v>
      </c>
      <c r="R44" s="2">
        <v>8.0796898893547679E-3</v>
      </c>
      <c r="S44" s="2">
        <v>6.9662236371699215E-2</v>
      </c>
      <c r="T44" s="2">
        <v>6.034668526825978E-2</v>
      </c>
    </row>
    <row r="45" spans="1:20">
      <c r="A45" s="2" t="str">
        <f>VLOOKUP(C45,portfolio_7_50!$A$39:$B$54,2,FALSE)</f>
        <v>Unsec Std - 1090 - 180</v>
      </c>
      <c r="B45" s="2" t="s">
        <v>122</v>
      </c>
      <c r="C45" s="2" t="s">
        <v>72</v>
      </c>
      <c r="D45" s="2">
        <v>180</v>
      </c>
      <c r="E45" s="2">
        <v>10000</v>
      </c>
      <c r="F45" s="2">
        <v>0.109</v>
      </c>
      <c r="G45" s="2">
        <v>0</v>
      </c>
      <c r="H45" s="2">
        <v>0.18665108495076935</v>
      </c>
      <c r="I45" s="2">
        <v>0.02</v>
      </c>
      <c r="J45" s="2">
        <v>2.0000000000000002E-5</v>
      </c>
      <c r="K45" s="2">
        <v>0.35</v>
      </c>
      <c r="L45" s="2">
        <v>0</v>
      </c>
      <c r="M45" s="2">
        <v>0</v>
      </c>
      <c r="N45" s="2">
        <v>0.98299999999999998</v>
      </c>
      <c r="O45" s="2">
        <v>1.2485760574009408E-2</v>
      </c>
      <c r="P45" s="2">
        <v>0.97051423942599058</v>
      </c>
      <c r="Q45" s="2">
        <v>2.9485760574009423E-2</v>
      </c>
      <c r="R45" s="2">
        <v>8.6141512898251487E-3</v>
      </c>
      <c r="S45" s="2">
        <v>8.8625485415905203E-2</v>
      </c>
      <c r="T45" s="2">
        <v>6.051057698851856E-3</v>
      </c>
    </row>
    <row r="46" spans="1:20">
      <c r="A46" s="2" t="str">
        <f>VLOOKUP(C46,portfolio_7_50!$A$39:$B$54,2,FALSE)</f>
        <v>Unsec Std - 1095 - 120</v>
      </c>
      <c r="B46" s="2" t="s">
        <v>122</v>
      </c>
      <c r="C46" s="2" t="s">
        <v>131</v>
      </c>
      <c r="D46" s="2">
        <v>120</v>
      </c>
      <c r="E46" s="2">
        <v>10000</v>
      </c>
      <c r="F46" s="2">
        <v>0.10949999999999999</v>
      </c>
      <c r="G46" s="2">
        <v>0</v>
      </c>
      <c r="H46" s="2">
        <v>0.2</v>
      </c>
      <c r="I46" s="2">
        <v>0.02</v>
      </c>
      <c r="J46" s="2">
        <v>2.0000000000000002E-5</v>
      </c>
      <c r="K46" s="2">
        <v>0.35</v>
      </c>
      <c r="L46" s="2">
        <v>0</v>
      </c>
      <c r="M46" s="2">
        <v>0</v>
      </c>
      <c r="N46" s="2">
        <v>1.0024999999999999</v>
      </c>
      <c r="O46" s="2">
        <v>1.2499999999999956E-2</v>
      </c>
      <c r="P46" s="2">
        <v>0.99</v>
      </c>
      <c r="Q46" s="2">
        <v>1.0000000000000009E-2</v>
      </c>
      <c r="R46" s="2">
        <v>4.9700000000000001E-2</v>
      </c>
      <c r="S46" s="2">
        <v>5.2880451363088277E-2</v>
      </c>
      <c r="T46" s="2">
        <v>1.6021846999895537E-2</v>
      </c>
    </row>
    <row r="47" spans="1:20">
      <c r="A47" s="2" t="str">
        <f>VLOOKUP(C47,portfolio_7_50!$A$39:$B$54,2,FALSE)</f>
        <v>Unsec Std - 1190 - 120</v>
      </c>
      <c r="B47" s="2" t="s">
        <v>122</v>
      </c>
      <c r="C47" s="2" t="s">
        <v>74</v>
      </c>
      <c r="D47" s="2">
        <v>120</v>
      </c>
      <c r="E47" s="2">
        <v>10000</v>
      </c>
      <c r="F47" s="2">
        <v>0.11899999999999999</v>
      </c>
      <c r="G47" s="2">
        <v>0</v>
      </c>
      <c r="H47" s="2">
        <v>0.25316222542881223</v>
      </c>
      <c r="I47" s="2">
        <v>0.02</v>
      </c>
      <c r="J47" s="2">
        <v>2.0000000000000002E-5</v>
      </c>
      <c r="K47" s="2">
        <v>0.35</v>
      </c>
      <c r="L47" s="2">
        <v>0</v>
      </c>
      <c r="M47" s="2">
        <v>0</v>
      </c>
      <c r="N47" s="2">
        <v>1.0042</v>
      </c>
      <c r="O47" s="2">
        <v>1.2534858038227847E-2</v>
      </c>
      <c r="P47" s="2">
        <v>0.99166514196177213</v>
      </c>
      <c r="Q47" s="2">
        <v>8.3348580382278659E-3</v>
      </c>
      <c r="R47" s="2">
        <v>3.8765743595727972E-2</v>
      </c>
      <c r="S47" s="2">
        <v>6.8913731937851885E-2</v>
      </c>
      <c r="T47" s="2">
        <v>1.0752228334345883E-2</v>
      </c>
    </row>
    <row r="48" spans="1:20">
      <c r="A48" s="2" t="str">
        <f>VLOOKUP(C48,portfolio_7_50!$A$39:$B$54,2,FALSE)</f>
        <v>Unsec Std - 1190 - 180</v>
      </c>
      <c r="B48" s="2" t="s">
        <v>122</v>
      </c>
      <c r="C48" s="2" t="s">
        <v>83</v>
      </c>
      <c r="D48" s="2">
        <v>180</v>
      </c>
      <c r="E48" s="2">
        <v>10000</v>
      </c>
      <c r="F48" s="2">
        <v>0.11899999999999999</v>
      </c>
      <c r="G48" s="2">
        <v>0</v>
      </c>
      <c r="H48" s="2">
        <v>0.18672372431933457</v>
      </c>
      <c r="I48" s="2">
        <v>0.02</v>
      </c>
      <c r="J48" s="2">
        <v>2.0000000000000002E-5</v>
      </c>
      <c r="K48" s="2">
        <v>0.35</v>
      </c>
      <c r="L48" s="2">
        <v>0</v>
      </c>
      <c r="M48" s="2">
        <v>0</v>
      </c>
      <c r="N48" s="2">
        <v>0.97570000000000001</v>
      </c>
      <c r="O48" s="2">
        <v>1.2456241587535888E-2</v>
      </c>
      <c r="P48" s="2">
        <v>0.96324375841246412</v>
      </c>
      <c r="Q48" s="2">
        <v>3.6756241587535876E-2</v>
      </c>
      <c r="R48" s="2">
        <v>3.0122208425701801E-2</v>
      </c>
      <c r="S48" s="2">
        <v>8.5709191030991505E-2</v>
      </c>
      <c r="T48" s="2">
        <v>5.8379766216297485E-3</v>
      </c>
    </row>
    <row r="49" spans="1:20">
      <c r="A49" s="2" t="str">
        <f>VLOOKUP(C49,portfolio_7_50!$A$39:$B$54,2,FALSE)</f>
        <v>Unsec Std - 1199 - 186</v>
      </c>
      <c r="B49" s="2" t="s">
        <v>122</v>
      </c>
      <c r="C49" s="2" t="s">
        <v>133</v>
      </c>
      <c r="D49" s="2">
        <v>186</v>
      </c>
      <c r="E49" s="2">
        <v>10000</v>
      </c>
      <c r="F49" s="2">
        <v>0.11989999999999999</v>
      </c>
      <c r="G49" s="2">
        <v>1.71288E-2</v>
      </c>
      <c r="H49" s="2">
        <v>0.23</v>
      </c>
      <c r="I49" s="2">
        <v>0.02</v>
      </c>
      <c r="J49" s="2">
        <v>2.0000000000000002E-5</v>
      </c>
      <c r="K49" s="2">
        <v>0.15</v>
      </c>
      <c r="L49" s="2">
        <v>6</v>
      </c>
      <c r="M49" s="2">
        <v>0.39420056660076597</v>
      </c>
      <c r="N49" s="2">
        <v>0.98499999999999999</v>
      </c>
      <c r="O49" s="2">
        <v>1.2499999999999734E-2</v>
      </c>
      <c r="P49" s="2">
        <v>0.97250000000000025</v>
      </c>
      <c r="Q49" s="2">
        <v>2.7499999999999747E-2</v>
      </c>
      <c r="R49" s="2">
        <v>1.71288E-2</v>
      </c>
      <c r="S49" s="2">
        <v>6.6067704346311373E-2</v>
      </c>
      <c r="T49" s="2">
        <v>3.701029457158596E-4</v>
      </c>
    </row>
    <row r="50" spans="1:20">
      <c r="A50" s="2" t="str">
        <f>VLOOKUP(C50,portfolio_7_50!$A$39:$B$54,2,FALSE)</f>
        <v>Unsec Std - 1249 - 186</v>
      </c>
      <c r="B50" s="2" t="s">
        <v>122</v>
      </c>
      <c r="C50" s="2" t="s">
        <v>136</v>
      </c>
      <c r="D50" s="2">
        <v>186</v>
      </c>
      <c r="E50" s="2">
        <v>10000</v>
      </c>
      <c r="F50" s="2">
        <v>0.1249</v>
      </c>
      <c r="G50" s="2">
        <v>2.4400000000000002E-2</v>
      </c>
      <c r="H50" s="2">
        <v>0.23</v>
      </c>
      <c r="I50" s="2">
        <v>0.02</v>
      </c>
      <c r="J50" s="2">
        <v>2.0000000000000002E-5</v>
      </c>
      <c r="K50" s="2">
        <v>0.15</v>
      </c>
      <c r="L50" s="2">
        <v>6</v>
      </c>
      <c r="M50" s="2">
        <v>0.39420056660076597</v>
      </c>
      <c r="N50" s="2">
        <v>0.98499999999999999</v>
      </c>
      <c r="O50" s="2">
        <v>1.2499999999999734E-2</v>
      </c>
      <c r="P50" s="2">
        <v>0.97250000000000025</v>
      </c>
      <c r="Q50" s="2">
        <v>2.7499999999999747E-2</v>
      </c>
      <c r="R50" s="2">
        <v>1.71288E-2</v>
      </c>
      <c r="S50" s="2">
        <v>6.8433102251047373E-2</v>
      </c>
      <c r="T50" s="2">
        <v>1.0058032448633734E-4</v>
      </c>
    </row>
    <row r="51" spans="1:20">
      <c r="A51" s="2" t="str">
        <f>VLOOKUP(C51,portfolio_7_50!$A$39:$B$54,2,FALSE)</f>
        <v>Unsec Std - 1390 - 123</v>
      </c>
      <c r="B51" s="2" t="s">
        <v>122</v>
      </c>
      <c r="C51" s="2" t="s">
        <v>95</v>
      </c>
      <c r="D51" s="2">
        <v>123</v>
      </c>
      <c r="E51" s="2">
        <v>10000</v>
      </c>
      <c r="F51" s="2">
        <v>0.13900000000000001</v>
      </c>
      <c r="G51" s="2">
        <v>6.5120741180827363E-2</v>
      </c>
      <c r="H51" s="2">
        <v>0.316</v>
      </c>
      <c r="I51" s="2">
        <v>0.02</v>
      </c>
      <c r="J51" s="2">
        <v>2.0000000000000002E-5</v>
      </c>
      <c r="K51" s="2">
        <v>0.35</v>
      </c>
      <c r="L51" s="2">
        <v>3</v>
      </c>
      <c r="M51" s="2">
        <v>0.15622342731096903</v>
      </c>
      <c r="N51" s="2">
        <v>0.95220000000000005</v>
      </c>
      <c r="O51" s="2">
        <v>1.2499999999999956E-2</v>
      </c>
      <c r="P51" s="2">
        <v>0.93970000000000009</v>
      </c>
      <c r="Q51" s="2">
        <v>6.0299999999999909E-2</v>
      </c>
      <c r="R51" s="2">
        <v>6.5120741180827363E-2</v>
      </c>
      <c r="S51" s="2">
        <v>8.0193068421926306E-2</v>
      </c>
      <c r="T51" s="2">
        <v>6.2986400518440554E-3</v>
      </c>
    </row>
    <row r="52" spans="1:20">
      <c r="A52" s="2" t="str">
        <f>VLOOKUP(C52,portfolio_7_50!$A$39:$B$54,2,FALSE)</f>
        <v>Unsec Std - 1399 - 186</v>
      </c>
      <c r="B52" s="2" t="s">
        <v>122</v>
      </c>
      <c r="C52" s="2" t="s">
        <v>139</v>
      </c>
      <c r="D52" s="2">
        <v>186</v>
      </c>
      <c r="E52" s="2">
        <v>10000</v>
      </c>
      <c r="F52" s="2">
        <v>0.1399</v>
      </c>
      <c r="G52" s="2">
        <v>3.702192E-2</v>
      </c>
      <c r="H52" s="2">
        <v>0.23</v>
      </c>
      <c r="I52" s="2">
        <v>0.02</v>
      </c>
      <c r="J52" s="2">
        <v>2.0000000000000002E-5</v>
      </c>
      <c r="K52" s="2">
        <v>0.15</v>
      </c>
      <c r="L52" s="2">
        <v>6</v>
      </c>
      <c r="M52" s="2">
        <v>0.39420056660076597</v>
      </c>
      <c r="N52" s="2">
        <v>0.98499999999999999</v>
      </c>
      <c r="O52" s="2">
        <v>1.2499999999999734E-2</v>
      </c>
      <c r="P52" s="2">
        <v>0.97250000000000025</v>
      </c>
      <c r="Q52" s="2">
        <v>2.7499999999999747E-2</v>
      </c>
      <c r="R52" s="2">
        <v>3.702192E-2</v>
      </c>
      <c r="S52" s="2">
        <v>6.3026366165690462E-2</v>
      </c>
      <c r="T52" s="2">
        <v>4.1704785906947067E-3</v>
      </c>
    </row>
    <row r="53" spans="1:20">
      <c r="A53" s="2" t="str">
        <f>VLOOKUP(C53,portfolio_7_50!$A$39:$B$54,2,FALSE)</f>
        <v>Unsec Std - 1490 - 120</v>
      </c>
      <c r="B53" s="2" t="s">
        <v>122</v>
      </c>
      <c r="C53" s="2" t="s">
        <v>141</v>
      </c>
      <c r="D53" s="2">
        <v>120</v>
      </c>
      <c r="E53" s="2">
        <v>10000</v>
      </c>
      <c r="F53" s="2">
        <v>0.14899999999999999</v>
      </c>
      <c r="G53" s="2">
        <v>0</v>
      </c>
      <c r="H53" s="2">
        <v>0.16300000000000001</v>
      </c>
      <c r="I53" s="2">
        <v>0.02</v>
      </c>
      <c r="J53" s="2">
        <v>5.0000000000000002E-5</v>
      </c>
      <c r="K53" s="2">
        <v>0.35</v>
      </c>
      <c r="L53" s="2">
        <v>0</v>
      </c>
      <c r="M53" s="2">
        <v>0</v>
      </c>
      <c r="N53" s="2">
        <v>0.93930000000000002</v>
      </c>
      <c r="O53" s="2">
        <v>1.2499999999999956E-2</v>
      </c>
      <c r="P53" s="2">
        <v>0.92680000000000007</v>
      </c>
      <c r="Q53" s="2">
        <v>7.3199999999999932E-2</v>
      </c>
      <c r="R53" s="2">
        <v>9.64E-2</v>
      </c>
      <c r="S53" s="2">
        <v>8.2572117634900799E-2</v>
      </c>
      <c r="T53" s="2">
        <v>5.2064905251435159E-2</v>
      </c>
    </row>
    <row r="54" spans="1:20">
      <c r="A54" s="2" t="str">
        <f>VLOOKUP(C54,portfolio_7_50!$A$39:$B$54,2,FALSE)</f>
        <v>Unsec Std - 999 - 120</v>
      </c>
      <c r="B54" s="2" t="s">
        <v>122</v>
      </c>
      <c r="C54" s="2" t="s">
        <v>109</v>
      </c>
      <c r="D54" s="2">
        <v>120</v>
      </c>
      <c r="E54" s="2">
        <v>10000</v>
      </c>
      <c r="F54" s="2">
        <v>9.9900000000000003E-2</v>
      </c>
      <c r="G54" s="2">
        <v>0</v>
      </c>
      <c r="H54" s="2">
        <v>0.26100000000000001</v>
      </c>
      <c r="I54" s="2">
        <v>0.02</v>
      </c>
      <c r="J54" s="2">
        <v>2.0000000000000002E-5</v>
      </c>
      <c r="K54" s="2">
        <v>0.35</v>
      </c>
      <c r="L54" s="2">
        <v>0</v>
      </c>
      <c r="M54" s="2">
        <v>0</v>
      </c>
      <c r="N54" s="2">
        <v>1.0106999999999999</v>
      </c>
      <c r="O54" s="2">
        <v>1.2501671722090157E-2</v>
      </c>
      <c r="P54" s="2">
        <v>0.99819832827790977</v>
      </c>
      <c r="Q54" s="2">
        <v>1.8016717220902256E-3</v>
      </c>
      <c r="R54" s="2">
        <v>8.2286173657919529E-3</v>
      </c>
      <c r="S54" s="2">
        <v>6.9054696957500994E-2</v>
      </c>
      <c r="T54" s="2">
        <v>3.1593201947392763E-2</v>
      </c>
    </row>
  </sheetData>
  <sortState xmlns:xlrd2="http://schemas.microsoft.com/office/spreadsheetml/2017/richdata2" ref="A2:T54">
    <sortCondition ref="B2:B54"/>
    <sortCondition ref="A2:A54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F54840F04C143904C8BAE9DEAB5F8" ma:contentTypeVersion="12" ma:contentTypeDescription="Create a new document." ma:contentTypeScope="" ma:versionID="9ac3a592ce6ad1bdc84d72a152f745b7">
  <xsd:schema xmlns:xsd="http://www.w3.org/2001/XMLSchema" xmlns:xs="http://www.w3.org/2001/XMLSchema" xmlns:p="http://schemas.microsoft.com/office/2006/metadata/properties" xmlns:ns3="0a64fa9a-5ead-4eab-82d0-23bd6e4caa75" xmlns:ns4="e9a09b61-1de6-473e-99a4-baff36cb11cf" targetNamespace="http://schemas.microsoft.com/office/2006/metadata/properties" ma:root="true" ma:fieldsID="929b2635088e4c274ce0d6937a2e2c9b" ns3:_="" ns4:_="">
    <xsd:import namespace="0a64fa9a-5ead-4eab-82d0-23bd6e4caa75"/>
    <xsd:import namespace="e9a09b61-1de6-473e-99a4-baff36cb11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4fa9a-5ead-4eab-82d0-23bd6e4ca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09b61-1de6-473e-99a4-baff36cb11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64fa9a-5ead-4eab-82d0-23bd6e4caa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B546C6-256E-4D14-8EA6-C76ED3430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4fa9a-5ead-4eab-82d0-23bd6e4caa75"/>
    <ds:schemaRef ds:uri="e9a09b61-1de6-473e-99a4-baff36cb1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D36CB2-5903-4E5E-AE8C-453DFAB86CFF}">
  <ds:schemaRefs>
    <ds:schemaRef ds:uri="http://schemas.microsoft.com/office/2006/metadata/properties"/>
    <ds:schemaRef ds:uri="http://schemas.microsoft.com/office/infopath/2007/PartnerControls"/>
    <ds:schemaRef ds:uri="0a64fa9a-5ead-4eab-82d0-23bd6e4caa75"/>
  </ds:schemaRefs>
</ds:datastoreItem>
</file>

<file path=customXml/itemProps3.xml><?xml version="1.0" encoding="utf-8"?>
<ds:datastoreItem xmlns:ds="http://schemas.openxmlformats.org/officeDocument/2006/customXml" ds:itemID="{521F7FA6-E644-4643-A6FA-00C54F8E61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portfolio_7_50</vt:lpstr>
      <vt:lpstr>targets</vt:lpstr>
      <vt:lpstr>Worst Case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Harshit k.</dc:creator>
  <cp:keywords/>
  <dc:description/>
  <cp:lastModifiedBy>Harshit Khandelwal</cp:lastModifiedBy>
  <cp:revision/>
  <dcterms:created xsi:type="dcterms:W3CDTF">2024-02-20T19:26:31Z</dcterms:created>
  <dcterms:modified xsi:type="dcterms:W3CDTF">2025-09-25T22:42:34Z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0x01010066DF54840F04C143904C8BAE9DEAB5F8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2025-04-01T06:19:43Z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8c10ab77-83ad-4002-ae50-e8324fa0e310</vt:lpwstr>
  </property>
  <property fmtid="{D5CDD505-2E9C-101B-9397-08002B2CF9AE}" pid="8" name="MSIP_Label_defa4170-0d19-0005-0004-bc88714345d2_ActionId">
    <vt:lpwstr>5be5a430-430c-4e6e-9e4c-81ef6c8f52e2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